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46296" windowHeight="25656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harset val="222"/>
      <family val="2"/>
      <color theme="1"/>
      <sz val="11"/>
      <scheme val="minor"/>
    </font>
    <font>
      <name val="TH SarabunPSK"/>
      <family val="2"/>
      <color theme="1"/>
      <sz val="16"/>
    </font>
    <font>
      <name val="TH SarabunPSK"/>
      <family val="2"/>
      <b val="1"/>
      <color theme="1"/>
      <sz val="16"/>
    </font>
    <font>
      <name val="TH Sarabun PSK"/>
      <sz val="14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1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Continuous"/>
    </xf>
    <xf numFmtId="49" fontId="1" fillId="0" borderId="0" applyAlignment="1" pivotButton="0" quotePrefix="0" xfId="0">
      <alignment horizontal="centerContinuous"/>
    </xf>
    <xf numFmtId="0" fontId="2" fillId="0" borderId="0" applyAlignment="1" pivotButton="0" quotePrefix="0" xfId="0">
      <alignment horizontal="centerContinuous"/>
    </xf>
    <xf numFmtId="49" fontId="1" fillId="0" borderId="9" applyAlignment="1" pivotButton="0" quotePrefix="0" xfId="0">
      <alignment horizontal="right"/>
    </xf>
    <xf numFmtId="0" fontId="1" fillId="0" borderId="10" pivotButton="0" quotePrefix="0" xfId="0"/>
    <xf numFmtId="49" fontId="1" fillId="0" borderId="11" applyAlignment="1" pivotButton="0" quotePrefix="0" xfId="0">
      <alignment horizontal="right"/>
    </xf>
    <xf numFmtId="0" fontId="1" fillId="0" borderId="12" pivotButton="0" quotePrefix="0" xfId="0"/>
    <xf numFmtId="0" fontId="1" fillId="0" borderId="13" pivotButton="0" quotePrefix="0" xfId="0"/>
    <xf numFmtId="49" fontId="1" fillId="0" borderId="7" applyAlignment="1" pivotButton="0" quotePrefix="0" xfId="0">
      <alignment horizontal="left"/>
    </xf>
    <xf numFmtId="0" fontId="1" fillId="0" borderId="2" pivotButton="0" quotePrefix="0" xfId="0"/>
    <xf numFmtId="0" fontId="1" fillId="0" borderId="8" pivotButton="0" quotePrefix="0" xfId="0"/>
    <xf numFmtId="0" fontId="1" fillId="0" borderId="7" applyAlignment="1" pivotButton="0" quotePrefix="0" xfId="0">
      <alignment horizontal="left"/>
    </xf>
    <xf numFmtId="0" fontId="1" fillId="0" borderId="9" applyAlignment="1" pivotButton="0" quotePrefix="0" xfId="0">
      <alignment horizontal="right"/>
    </xf>
    <xf numFmtId="0" fontId="1" fillId="0" borderId="2" applyAlignment="1" pivotButton="0" quotePrefix="0" xfId="0">
      <alignment horizontal="left"/>
    </xf>
    <xf numFmtId="0" fontId="1" fillId="0" borderId="8" applyAlignment="1" pivotButton="0" quotePrefix="0" xfId="0">
      <alignment horizontal="left"/>
    </xf>
    <xf numFmtId="0" fontId="1" fillId="0" borderId="12" applyAlignment="1" pivotButton="0" quotePrefix="0" xfId="0">
      <alignment horizontal="left"/>
    </xf>
    <xf numFmtId="0" fontId="1" fillId="0" borderId="13" applyAlignment="1" pivotButton="0" quotePrefix="0" xfId="0">
      <alignment horizontal="left"/>
    </xf>
    <xf numFmtId="49" fontId="1" fillId="0" borderId="9" applyAlignment="1" pivotButton="0" quotePrefix="0" xfId="0">
      <alignment horizontal="left"/>
    </xf>
    <xf numFmtId="0" fontId="1" fillId="0" borderId="10" applyAlignment="1" pivotButton="0" quotePrefix="0" xfId="0">
      <alignment horizontal="left"/>
    </xf>
    <xf numFmtId="49" fontId="1" fillId="0" borderId="11" applyAlignment="1" pivotButton="0" quotePrefix="0" xfId="0">
      <alignment horizontal="left"/>
    </xf>
    <xf numFmtId="49" fontId="1" fillId="0" borderId="3" applyAlignment="1" pivotButton="0" quotePrefix="0" xfId="0">
      <alignment horizontal="left"/>
    </xf>
    <xf numFmtId="0" fontId="1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left"/>
    </xf>
    <xf numFmtId="0" fontId="1" fillId="0" borderId="4" pivotButton="0" quotePrefix="0" xfId="0"/>
    <xf numFmtId="0" fontId="1" fillId="0" borderId="9" applyAlignment="1" pivotButton="0" quotePrefix="0" xfId="0">
      <alignment horizontal="left"/>
    </xf>
    <xf numFmtId="0" fontId="1" fillId="0" borderId="5" pivotButton="0" quotePrefix="0" xfId="0"/>
    <xf numFmtId="0" fontId="1" fillId="0" borderId="17" applyAlignment="1" pivotButton="0" quotePrefix="0" xfId="0">
      <alignment horizontal="center"/>
    </xf>
    <xf numFmtId="0" fontId="1" fillId="0" borderId="18" applyAlignment="1" pivotButton="0" quotePrefix="0" xfId="0">
      <alignment horizontal="center"/>
    </xf>
    <xf numFmtId="49" fontId="1" fillId="0" borderId="19" applyAlignment="1" pivotButton="0" quotePrefix="0" xfId="0">
      <alignment horizontal="left"/>
    </xf>
    <xf numFmtId="0" fontId="1" fillId="0" borderId="20" applyAlignment="1" pivotButton="0" quotePrefix="0" xfId="0">
      <alignment horizontal="left"/>
    </xf>
    <xf numFmtId="0" fontId="1" fillId="0" borderId="21" applyAlignment="1" pivotButton="0" quotePrefix="0" xfId="0">
      <alignment horizontal="left"/>
    </xf>
    <xf numFmtId="0" fontId="2" fillId="0" borderId="25" applyAlignment="1" pivotButton="0" quotePrefix="0" xfId="0">
      <alignment horizontal="center"/>
    </xf>
    <xf numFmtId="0" fontId="2" fillId="0" borderId="26" applyAlignment="1" pivotButton="0" quotePrefix="0" xfId="0">
      <alignment horizontal="center"/>
    </xf>
    <xf numFmtId="49" fontId="1" fillId="0" borderId="28" applyAlignment="1" pivotButton="0" quotePrefix="0" xfId="0">
      <alignment horizontal="right"/>
    </xf>
    <xf numFmtId="0" fontId="1" fillId="0" borderId="29" applyAlignment="1" pivotButton="0" quotePrefix="0" xfId="0">
      <alignment horizontal="left"/>
    </xf>
    <xf numFmtId="0" fontId="2" fillId="0" borderId="27" applyAlignment="1" pivotButton="0" quotePrefix="0" xfId="0">
      <alignment horizontal="center"/>
    </xf>
    <xf numFmtId="0" fontId="1" fillId="0" borderId="14" applyAlignment="1" pivotButton="0" quotePrefix="0" xfId="0">
      <alignment horizontal="center"/>
    </xf>
    <xf numFmtId="0" fontId="1" fillId="0" borderId="24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1" fillId="0" borderId="22" applyAlignment="1" pivotButton="0" quotePrefix="0" xfId="0">
      <alignment horizontal="center"/>
    </xf>
    <xf numFmtId="0" fontId="1" fillId="0" borderId="23" applyAlignment="1" pivotButton="0" quotePrefix="0" xfId="0">
      <alignment horizontal="center"/>
    </xf>
    <xf numFmtId="0" fontId="2" fillId="0" borderId="26" applyAlignment="1" pivotButton="0" quotePrefix="0" xfId="0">
      <alignment horizontal="center"/>
    </xf>
    <xf numFmtId="0" fontId="1" fillId="0" borderId="15" applyAlignment="1" pivotButton="0" quotePrefix="0" xfId="0">
      <alignment horizontal="left"/>
    </xf>
    <xf numFmtId="0" fontId="1" fillId="0" borderId="30" applyAlignment="1" pivotButton="0" quotePrefix="0" xfId="0">
      <alignment horizontal="center"/>
    </xf>
    <xf numFmtId="49" fontId="1" fillId="0" borderId="31" applyAlignment="1" pivotButton="0" quotePrefix="0" xfId="0">
      <alignment horizontal="left"/>
    </xf>
    <xf numFmtId="0" fontId="1" fillId="0" borderId="32" applyAlignment="1" pivotButton="0" quotePrefix="0" xfId="0">
      <alignment horizontal="left"/>
    </xf>
    <xf numFmtId="0" fontId="1" fillId="0" borderId="33" applyAlignment="1" pivotButton="0" quotePrefix="0" xfId="0">
      <alignment horizontal="left"/>
    </xf>
    <xf numFmtId="0" fontId="1" fillId="0" borderId="34" applyAlignment="1" pivotButton="0" quotePrefix="0" xfId="0">
      <alignment horizontal="center"/>
    </xf>
    <xf numFmtId="0" fontId="1" fillId="0" borderId="35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0" fontId="1" fillId="0" borderId="11" applyAlignment="1" pivotButton="0" quotePrefix="0" xfId="0">
      <alignment horizontal="left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5"/>
  <sheetViews>
    <sheetView tabSelected="1" zoomScale="120" zoomScaleNormal="120" workbookViewId="0">
      <selection activeCell="O23" sqref="O23"/>
    </sheetView>
  </sheetViews>
  <sheetFormatPr baseColWidth="8" defaultColWidth="9" defaultRowHeight="21"/>
  <cols>
    <col width="6" bestFit="1" customWidth="1" style="6" min="1" max="1"/>
    <col width="5.33203125" customWidth="1" style="5" min="2" max="2"/>
    <col width="9" customWidth="1" style="56" min="3" max="4"/>
    <col width="4.44140625" customWidth="1" style="56" min="5" max="5"/>
    <col width="11.77734375" bestFit="1" customWidth="1" style="6" min="6" max="6"/>
    <col width="7.33203125" bestFit="1" customWidth="1" style="6" min="7" max="7"/>
    <col width="4.6640625" bestFit="1" customWidth="1" style="6" min="8" max="8"/>
    <col width="4.33203125" bestFit="1" customWidth="1" style="6" min="9" max="9"/>
    <col width="9.6640625" bestFit="1" customWidth="1" style="6" min="10" max="10"/>
    <col width="6.77734375" bestFit="1" customWidth="1" style="6" min="11" max="11"/>
    <col width="8" bestFit="1" customWidth="1" style="6" min="12" max="12"/>
    <col width="9.109375" bestFit="1" customWidth="1" style="6" min="13" max="13"/>
    <col width="9" customWidth="1" style="1" min="14" max="16384"/>
  </cols>
  <sheetData>
    <row r="1">
      <c r="A1" s="7" t="inlineStr">
        <is>
          <t>บัญชีคุมยุทโธปกรณ์ ป.4 พัน.4 ร้อย.2</t>
        </is>
      </c>
      <c r="B1" s="8" t="n"/>
      <c r="C1" s="7" t="n"/>
      <c r="D1" s="9" t="n"/>
      <c r="E1" s="9" t="n"/>
      <c r="F1" s="9" t="n"/>
      <c r="G1" s="9" t="n"/>
      <c r="H1" s="9" t="n"/>
      <c r="I1" s="9" t="n"/>
      <c r="J1" s="7" t="n"/>
      <c r="K1" s="7" t="n"/>
      <c r="L1" s="7" t="n"/>
      <c r="M1" s="7" t="n"/>
    </row>
    <row r="2">
      <c r="A2" s="7" t="inlineStr">
        <is>
          <t xml:space="preserve">โรงเก็บปืนใหญ่ 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</row>
    <row r="3" ht="12" customHeight="1" thickBot="1"/>
    <row r="4" ht="21.6" customHeight="1" thickBot="1">
      <c r="A4" s="38" t="inlineStr">
        <is>
          <t>ลำดับ</t>
        </is>
      </c>
      <c r="B4" s="48" t="inlineStr">
        <is>
          <t>รายการ</t>
        </is>
      </c>
      <c r="C4" s="60" t="n"/>
      <c r="D4" s="60" t="n"/>
      <c r="E4" s="61" t="n"/>
      <c r="F4" s="48" t="inlineStr">
        <is>
          <t>ยอดบัญชีคุม</t>
        </is>
      </c>
      <c r="G4" s="48" t="inlineStr">
        <is>
          <t>ยอดที่มี</t>
        </is>
      </c>
      <c r="H4" s="48" t="inlineStr">
        <is>
          <t>ขาด</t>
        </is>
      </c>
      <c r="I4" s="48" t="inlineStr">
        <is>
          <t>เกิน</t>
        </is>
      </c>
      <c r="J4" s="48" t="inlineStr">
        <is>
          <t>ส่งซ่อม</t>
        </is>
      </c>
      <c r="K4" s="48" t="inlineStr">
        <is>
          <t>เบิกยืม</t>
        </is>
      </c>
      <c r="L4" s="48" t="inlineStr">
        <is>
          <t>คงเหลือ</t>
        </is>
      </c>
      <c r="M4" s="42" t="inlineStr">
        <is>
          <t>หมายเหตุ</t>
        </is>
      </c>
    </row>
    <row r="5">
      <c r="A5" s="33" t="n">
        <v>1</v>
      </c>
      <c r="B5" s="49" t="inlineStr">
        <is>
          <t>เต็นท์</t>
        </is>
      </c>
      <c r="E5" s="62" t="n"/>
      <c r="F5" s="43" t="n"/>
      <c r="G5" s="43" t="n"/>
      <c r="H5" s="43" t="n"/>
      <c r="I5" s="43" t="n"/>
      <c r="J5" s="43" t="n"/>
      <c r="K5" s="43" t="n"/>
      <c r="L5" s="43" t="n"/>
      <c r="M5" s="44" t="n"/>
    </row>
    <row r="6">
      <c r="A6" s="33" t="n"/>
      <c r="B6" s="10" t="inlineStr">
        <is>
          <t xml:space="preserve">- </t>
        </is>
      </c>
      <c r="C6" s="1" t="inlineStr">
        <is>
          <t>หน้าจั่ว</t>
        </is>
      </c>
      <c r="D6" s="1" t="n"/>
      <c r="E6" s="11" t="n"/>
      <c r="F6" s="3" t="n">
        <v>12</v>
      </c>
      <c r="G6" s="3" t="n">
        <v>12</v>
      </c>
      <c r="H6" s="3" t="n"/>
      <c r="I6" s="3" t="n"/>
      <c r="J6" s="3" t="n"/>
      <c r="K6" s="3" t="n"/>
      <c r="L6" s="3" t="n">
        <v>12</v>
      </c>
      <c r="M6" s="45" t="n"/>
    </row>
    <row r="7">
      <c r="A7" s="33" t="n"/>
      <c r="B7" s="10" t="inlineStr">
        <is>
          <t xml:space="preserve">- </t>
        </is>
      </c>
      <c r="C7" s="1" t="inlineStr">
        <is>
          <t>คาน</t>
        </is>
      </c>
      <c r="D7" s="1" t="n"/>
      <c r="E7" s="11" t="n"/>
      <c r="F7" s="3" t="n">
        <v>18</v>
      </c>
      <c r="G7" s="3" t="n">
        <v>18</v>
      </c>
      <c r="H7" s="3" t="n"/>
      <c r="I7" s="3" t="n"/>
      <c r="J7" s="3" t="n"/>
      <c r="K7" s="3" t="n"/>
      <c r="L7" s="3" t="n">
        <v>18</v>
      </c>
      <c r="M7" s="45" t="n"/>
    </row>
    <row r="8">
      <c r="A8" s="33" t="n"/>
      <c r="B8" s="10" t="inlineStr">
        <is>
          <t xml:space="preserve">- </t>
        </is>
      </c>
      <c r="C8" s="1" t="inlineStr">
        <is>
          <t>เสา</t>
        </is>
      </c>
      <c r="D8" s="1" t="n"/>
      <c r="E8" s="11" t="n"/>
      <c r="F8" s="3" t="n">
        <v>24</v>
      </c>
      <c r="G8" s="3" t="n">
        <v>20</v>
      </c>
      <c r="H8" s="3" t="n">
        <v>4</v>
      </c>
      <c r="I8" s="3" t="n"/>
      <c r="J8" s="3" t="n"/>
      <c r="K8" s="3" t="n"/>
      <c r="L8" s="3" t="n">
        <v>20</v>
      </c>
      <c r="M8" s="45" t="n"/>
    </row>
    <row r="9">
      <c r="A9" s="33" t="n"/>
      <c r="B9" s="10" t="inlineStr">
        <is>
          <t xml:space="preserve">- </t>
        </is>
      </c>
      <c r="C9" s="1" t="inlineStr">
        <is>
          <t>ผ้าใบ</t>
        </is>
      </c>
      <c r="D9" s="1" t="n"/>
      <c r="E9" s="11" t="n"/>
      <c r="F9" s="3" t="n">
        <v>6</v>
      </c>
      <c r="G9" s="3" t="n">
        <v>6</v>
      </c>
      <c r="H9" s="3" t="n"/>
      <c r="I9" s="3" t="n"/>
      <c r="J9" s="3" t="n"/>
      <c r="K9" s="3" t="n"/>
      <c r="L9" s="3" t="n">
        <v>6</v>
      </c>
      <c r="M9" s="45" t="n"/>
    </row>
    <row r="10">
      <c r="A10" s="33" t="n">
        <v>2</v>
      </c>
      <c r="B10" s="27" t="inlineStr">
        <is>
          <t>แผ่นเป้าทดสอบ</t>
        </is>
      </c>
      <c r="C10" s="30" t="n"/>
      <c r="D10" s="30" t="n"/>
      <c r="E10" s="32" t="n"/>
      <c r="F10" s="3" t="n">
        <v>6</v>
      </c>
      <c r="G10" s="3" t="n">
        <v>5</v>
      </c>
      <c r="H10" s="3" t="n"/>
      <c r="I10" s="3" t="n"/>
      <c r="J10" s="3" t="n"/>
      <c r="K10" s="3" t="n"/>
      <c r="L10" s="3" t="n">
        <v>5</v>
      </c>
      <c r="M10" s="45" t="n"/>
    </row>
    <row r="11">
      <c r="A11" s="33" t="n">
        <v>3</v>
      </c>
      <c r="B11" s="27" t="inlineStr">
        <is>
          <t>ลังไม้</t>
        </is>
      </c>
      <c r="C11" s="30" t="n"/>
      <c r="D11" s="30" t="n"/>
      <c r="E11" s="32" t="n"/>
      <c r="F11" s="3" t="n">
        <v>6</v>
      </c>
      <c r="G11" s="3" t="n">
        <v>6</v>
      </c>
      <c r="H11" s="3" t="n"/>
      <c r="I11" s="3" t="n"/>
      <c r="J11" s="3" t="n"/>
      <c r="K11" s="3" t="n"/>
      <c r="L11" s="3" t="n">
        <v>6</v>
      </c>
      <c r="M11" s="45" t="n"/>
    </row>
    <row r="12">
      <c r="A12" s="33" t="n">
        <v>4</v>
      </c>
      <c r="B12" s="27" t="inlineStr">
        <is>
          <t>หลักมุมภาค (16 หลัก)</t>
        </is>
      </c>
      <c r="C12" s="30" t="n"/>
      <c r="D12" s="30" t="n"/>
      <c r="E12" s="32" t="n"/>
      <c r="F12" s="3" t="n">
        <v>96</v>
      </c>
      <c r="G12" s="3" t="n">
        <v>64</v>
      </c>
      <c r="H12" s="3" t="n">
        <v>32</v>
      </c>
      <c r="I12" s="3" t="n"/>
      <c r="J12" s="3" t="n"/>
      <c r="K12" s="3" t="n"/>
      <c r="L12" s="3" t="n">
        <v>64</v>
      </c>
      <c r="M12" s="45" t="n"/>
    </row>
    <row r="13">
      <c r="A13" s="33" t="n">
        <v>5</v>
      </c>
      <c r="B13" s="24" t="inlineStr">
        <is>
          <t>ป้าย</t>
        </is>
      </c>
      <c r="C13" s="1" t="n"/>
      <c r="D13" s="1" t="n"/>
      <c r="E13" s="11" t="n"/>
      <c r="F13" s="3" t="n"/>
      <c r="G13" s="3" t="n"/>
      <c r="H13" s="3" t="n"/>
      <c r="I13" s="3" t="n"/>
      <c r="J13" s="3" t="n"/>
      <c r="K13" s="3" t="n"/>
      <c r="L13" s="3" t="n"/>
      <c r="M13" s="45" t="n"/>
    </row>
    <row r="14">
      <c r="A14" s="33" t="n"/>
      <c r="B14" s="10" t="inlineStr">
        <is>
          <t>-</t>
        </is>
      </c>
      <c r="C14" s="1" t="inlineStr">
        <is>
          <t>ทิ้งส่วนบรรจุ</t>
        </is>
      </c>
      <c r="D14" s="1" t="n"/>
      <c r="E14" s="11" t="n"/>
      <c r="F14" s="3" t="n">
        <v>6</v>
      </c>
      <c r="G14" s="3" t="n">
        <v>4</v>
      </c>
      <c r="H14" s="3" t="n">
        <v>2</v>
      </c>
      <c r="I14" s="3" t="n"/>
      <c r="J14" s="3" t="n"/>
      <c r="K14" s="3" t="n"/>
      <c r="L14" s="3" t="n">
        <v>4</v>
      </c>
      <c r="M14" s="45" t="n"/>
    </row>
    <row r="15">
      <c r="A15" s="33" t="n"/>
      <c r="B15" s="10" t="inlineStr">
        <is>
          <t>-</t>
        </is>
      </c>
      <c r="C15" s="1" t="inlineStr">
        <is>
          <t>ทิ้งขยะ</t>
        </is>
      </c>
      <c r="D15" s="1" t="n"/>
      <c r="E15" s="11" t="n"/>
      <c r="F15" s="3" t="n">
        <v>6</v>
      </c>
      <c r="G15" s="3" t="n">
        <v>4</v>
      </c>
      <c r="H15" s="3" t="n">
        <v>2</v>
      </c>
      <c r="I15" s="3" t="n"/>
      <c r="J15" s="3" t="n"/>
      <c r="K15" s="3" t="n"/>
      <c r="L15" s="3" t="n">
        <v>4</v>
      </c>
      <c r="M15" s="45" t="n"/>
    </row>
    <row r="16">
      <c r="A16" s="33" t="n"/>
      <c r="B16" s="12" t="inlineStr">
        <is>
          <t>-</t>
        </is>
      </c>
      <c r="C16" s="13" t="inlineStr">
        <is>
          <t>หลุมหลบภัย</t>
        </is>
      </c>
      <c r="D16" s="13" t="n"/>
      <c r="E16" s="14" t="n"/>
      <c r="F16" s="3" t="n">
        <v>6</v>
      </c>
      <c r="G16" s="3" t="n">
        <v>4</v>
      </c>
      <c r="H16" s="3" t="n">
        <v>2</v>
      </c>
      <c r="I16" s="3" t="n"/>
      <c r="J16" s="3" t="n"/>
      <c r="K16" s="3" t="n"/>
      <c r="L16" s="3" t="n">
        <v>4</v>
      </c>
      <c r="M16" s="45" t="n"/>
    </row>
    <row r="17">
      <c r="A17" s="33" t="n">
        <v>6</v>
      </c>
      <c r="B17" s="18" t="inlineStr">
        <is>
          <t>ฝาปิดหลุม</t>
        </is>
      </c>
      <c r="C17" s="16" t="n"/>
      <c r="D17" s="16" t="n"/>
      <c r="E17" s="17" t="n"/>
      <c r="F17" s="3" t="n"/>
      <c r="G17" s="3" t="n"/>
      <c r="H17" s="3" t="n"/>
      <c r="I17" s="3" t="n"/>
      <c r="J17" s="3" t="n"/>
      <c r="K17" s="3" t="n"/>
      <c r="L17" s="3" t="n"/>
      <c r="M17" s="45" t="n"/>
    </row>
    <row r="18">
      <c r="A18" s="33" t="n"/>
      <c r="B18" s="19" t="inlineStr">
        <is>
          <t>-</t>
        </is>
      </c>
      <c r="C18" s="1" t="inlineStr">
        <is>
          <t>ทิ้งส่วนบรรจุ</t>
        </is>
      </c>
      <c r="D18" s="1" t="n"/>
      <c r="E18" s="11" t="n"/>
      <c r="F18" s="3" t="n">
        <v>6</v>
      </c>
      <c r="G18" s="3" t="n">
        <v>6</v>
      </c>
      <c r="H18" s="3" t="n"/>
      <c r="I18" s="3" t="n"/>
      <c r="J18" s="3" t="n"/>
      <c r="K18" s="3" t="n"/>
      <c r="L18" s="3" t="n">
        <v>6</v>
      </c>
      <c r="M18" s="45" t="n"/>
    </row>
    <row r="19">
      <c r="A19" s="33" t="n"/>
      <c r="B19" s="19" t="inlineStr">
        <is>
          <t>-</t>
        </is>
      </c>
      <c r="C19" s="1" t="inlineStr">
        <is>
          <t>ทิ้งขยะ</t>
        </is>
      </c>
      <c r="D19" s="1" t="n"/>
      <c r="E19" s="11" t="n"/>
      <c r="F19" s="3" t="n">
        <v>6</v>
      </c>
      <c r="G19" s="3" t="n">
        <v>6</v>
      </c>
      <c r="H19" s="3" t="n"/>
      <c r="I19" s="3" t="n"/>
      <c r="J19" s="3" t="n"/>
      <c r="K19" s="3" t="n"/>
      <c r="L19" s="3" t="n">
        <v>6</v>
      </c>
      <c r="M19" s="45" t="n"/>
    </row>
    <row r="20">
      <c r="A20" s="33" t="n">
        <v>7</v>
      </c>
      <c r="B20" s="27" t="inlineStr">
        <is>
          <t>ตะแกรง</t>
        </is>
      </c>
      <c r="C20" s="30" t="n"/>
      <c r="D20" s="30" t="n"/>
      <c r="E20" s="32" t="n"/>
      <c r="F20" s="3" t="n">
        <v>6</v>
      </c>
      <c r="G20" s="3" t="n">
        <v>6</v>
      </c>
      <c r="H20" s="3" t="n"/>
      <c r="I20" s="3" t="n"/>
      <c r="J20" s="3" t="n"/>
      <c r="K20" s="3" t="n"/>
      <c r="L20" s="3" t="n">
        <v>6</v>
      </c>
      <c r="M20" s="45" t="n"/>
    </row>
    <row r="21">
      <c r="A21" s="33" t="n">
        <v>8</v>
      </c>
      <c r="B21" s="27" t="inlineStr">
        <is>
          <t>ถาดกระสุน</t>
        </is>
      </c>
      <c r="C21" s="30" t="n"/>
      <c r="D21" s="30" t="n"/>
      <c r="E21" s="32" t="n"/>
      <c r="F21" s="3" t="n">
        <v>6</v>
      </c>
      <c r="G21" s="3" t="n">
        <v>6</v>
      </c>
      <c r="H21" s="3" t="n"/>
      <c r="I21" s="3" t="n"/>
      <c r="J21" s="3" t="n"/>
      <c r="K21" s="3" t="n"/>
      <c r="L21" s="3" t="n">
        <v>6</v>
      </c>
      <c r="M21" s="45" t="n"/>
    </row>
    <row r="22">
      <c r="A22" s="33" t="n">
        <v>9</v>
      </c>
      <c r="B22" s="27" t="inlineStr">
        <is>
          <t>หีบเหล็ก</t>
        </is>
      </c>
      <c r="C22" s="30" t="n"/>
      <c r="D22" s="30" t="n"/>
      <c r="E22" s="32" t="n"/>
      <c r="F22" s="3" t="n">
        <v>6</v>
      </c>
      <c r="G22" s="3" t="n">
        <v>6</v>
      </c>
      <c r="H22" s="3" t="n"/>
      <c r="I22" s="3" t="n"/>
      <c r="J22" s="3" t="n"/>
      <c r="K22" s="3" t="n"/>
      <c r="L22" s="3" t="n">
        <v>6</v>
      </c>
      <c r="M22" s="45" t="n"/>
    </row>
    <row r="23">
      <c r="A23" s="33" t="n">
        <v>10</v>
      </c>
      <c r="B23" s="31" t="inlineStr">
        <is>
          <t>กระสุนฝึกบรรจุ</t>
        </is>
      </c>
      <c r="C23" s="1" t="n"/>
      <c r="D23" s="1" t="n"/>
      <c r="E23" s="11" t="n"/>
      <c r="F23" s="3" t="n">
        <v>6</v>
      </c>
      <c r="G23" s="3" t="n">
        <v>6</v>
      </c>
      <c r="H23" s="3" t="n"/>
      <c r="I23" s="3" t="n"/>
      <c r="J23" s="3" t="n"/>
      <c r="K23" s="3" t="n"/>
      <c r="L23" s="3" t="n">
        <v>6</v>
      </c>
      <c r="M23" s="45" t="n"/>
    </row>
    <row r="24">
      <c r="A24" s="33" t="n"/>
      <c r="B24" s="10" t="inlineStr">
        <is>
          <t>-</t>
        </is>
      </c>
      <c r="C24" s="1" t="inlineStr">
        <is>
          <t>ที่รองกระสุน</t>
        </is>
      </c>
      <c r="D24" s="1" t="n"/>
      <c r="E24" s="11" t="n"/>
      <c r="F24" s="3" t="n">
        <v>6</v>
      </c>
      <c r="G24" s="3" t="n">
        <v>5</v>
      </c>
      <c r="H24" s="3" t="n">
        <v>1</v>
      </c>
      <c r="I24" s="3" t="n"/>
      <c r="J24" s="3" t="n"/>
      <c r="K24" s="3" t="n"/>
      <c r="L24" s="3" t="n">
        <v>5</v>
      </c>
      <c r="M24" s="45" t="n"/>
    </row>
    <row r="25">
      <c r="A25" s="33" t="n">
        <v>11</v>
      </c>
      <c r="B25" s="27" t="inlineStr">
        <is>
          <t>ธงปลายลำกล้องปืน</t>
        </is>
      </c>
      <c r="C25" s="30" t="n"/>
      <c r="D25" s="30" t="n"/>
      <c r="E25" s="32" t="n"/>
      <c r="F25" s="3" t="n">
        <v>6</v>
      </c>
      <c r="G25" s="3" t="n">
        <v>4</v>
      </c>
      <c r="H25" s="3" t="n">
        <v>2</v>
      </c>
      <c r="I25" s="3" t="n"/>
      <c r="J25" s="3" t="n"/>
      <c r="K25" s="3" t="n"/>
      <c r="L25" s="3" t="n">
        <v>4</v>
      </c>
      <c r="M25" s="45" t="n"/>
    </row>
    <row r="26">
      <c r="A26" s="33" t="n">
        <v>12</v>
      </c>
      <c r="B26" s="27" t="inlineStr">
        <is>
          <t>เสาค้ำตาข่าย</t>
        </is>
      </c>
      <c r="C26" s="28" t="n"/>
      <c r="D26" s="28" t="n"/>
      <c r="E26" s="29" t="n"/>
      <c r="F26" s="3" t="n">
        <v>60</v>
      </c>
      <c r="G26" s="3" t="n">
        <v>40</v>
      </c>
      <c r="H26" s="3" t="n">
        <v>20</v>
      </c>
      <c r="I26" s="3" t="n"/>
      <c r="J26" s="3" t="n"/>
      <c r="K26" s="3" t="n"/>
      <c r="L26" s="3" t="n">
        <v>40</v>
      </c>
      <c r="M26" s="45" t="n"/>
    </row>
    <row r="27">
      <c r="A27" s="33" t="n">
        <v>13</v>
      </c>
      <c r="B27" s="27" t="inlineStr">
        <is>
          <t>ลังกระสุนพร้อมใช้ ( 2 ลัง/ป.)</t>
        </is>
      </c>
      <c r="C27" s="28" t="n"/>
      <c r="D27" s="28" t="n"/>
      <c r="E27" s="29" t="n"/>
      <c r="F27" s="3" t="n">
        <v>12</v>
      </c>
      <c r="G27" s="3" t="n">
        <v>4</v>
      </c>
      <c r="H27" s="3" t="n">
        <v>8</v>
      </c>
      <c r="I27" s="3" t="n"/>
      <c r="J27" s="3" t="n"/>
      <c r="K27" s="3" t="n"/>
      <c r="L27" s="3" t="n">
        <v>4</v>
      </c>
      <c r="M27" s="45" t="n"/>
    </row>
    <row r="28">
      <c r="A28" s="33" t="n">
        <v>14</v>
      </c>
      <c r="B28" s="27" t="inlineStr">
        <is>
          <t>ราวพาดปืน</t>
        </is>
      </c>
      <c r="C28" s="28" t="n"/>
      <c r="D28" s="28" t="n"/>
      <c r="E28" s="29" t="n"/>
      <c r="F28" s="3" t="n">
        <v>6</v>
      </c>
      <c r="G28" s="3" t="n">
        <v>5</v>
      </c>
      <c r="H28" s="3" t="n">
        <v>1</v>
      </c>
      <c r="I28" s="3" t="n"/>
      <c r="J28" s="3" t="n"/>
      <c r="K28" s="3" t="n"/>
      <c r="L28" s="3" t="n">
        <v>5</v>
      </c>
      <c r="M28" s="45" t="n"/>
    </row>
    <row r="29">
      <c r="A29" s="33" t="n">
        <v>15</v>
      </c>
      <c r="B29" s="27" t="inlineStr">
        <is>
          <t>เสาติดแผ่นเป้าทดสอบ</t>
        </is>
      </c>
      <c r="C29" s="28" t="n"/>
      <c r="D29" s="28" t="n"/>
      <c r="E29" s="29" t="n"/>
      <c r="F29" s="3" t="n">
        <v>6</v>
      </c>
      <c r="G29" s="3" t="n">
        <v>4</v>
      </c>
      <c r="H29" s="3" t="n">
        <v>2</v>
      </c>
      <c r="I29" s="3" t="n"/>
      <c r="J29" s="3" t="n"/>
      <c r="K29" s="3" t="n"/>
      <c r="L29" s="3" t="n">
        <v>4</v>
      </c>
      <c r="M29" s="45" t="n"/>
    </row>
    <row r="30">
      <c r="A30" s="33" t="n">
        <v>16</v>
      </c>
      <c r="B30" s="27" t="inlineStr">
        <is>
          <t>ถังน้ำ (2 ถัง/ป.)</t>
        </is>
      </c>
      <c r="C30" s="28" t="n"/>
      <c r="D30" s="28" t="n"/>
      <c r="E30" s="29" t="n"/>
      <c r="F30" s="3" t="n">
        <v>12</v>
      </c>
      <c r="G30" s="3" t="n">
        <v>12</v>
      </c>
      <c r="H30" s="3" t="n"/>
      <c r="I30" s="3" t="n"/>
      <c r="J30" s="3" t="n"/>
      <c r="K30" s="3" t="n"/>
      <c r="L30" s="3" t="n">
        <v>12</v>
      </c>
      <c r="M30" s="45" t="n"/>
    </row>
    <row r="31">
      <c r="A31" s="33" t="n">
        <v>17</v>
      </c>
      <c r="B31" s="24" t="inlineStr">
        <is>
          <t>แผ่นป้ายยิงเล็งตรง</t>
        </is>
      </c>
      <c r="E31" s="25" t="n"/>
      <c r="F31" s="3" t="n">
        <v>6</v>
      </c>
      <c r="G31" s="3" t="n">
        <v>4</v>
      </c>
      <c r="H31" s="3" t="n">
        <v>2</v>
      </c>
      <c r="I31" s="3" t="n"/>
      <c r="J31" s="3" t="n"/>
      <c r="K31" s="3" t="n"/>
      <c r="L31" s="3" t="n">
        <v>4</v>
      </c>
      <c r="M31" s="45" t="n"/>
    </row>
    <row r="32">
      <c r="A32" s="33" t="n"/>
      <c r="B32" s="10" t="inlineStr">
        <is>
          <t>-</t>
        </is>
      </c>
      <c r="C32" s="56" t="inlineStr">
        <is>
          <t>เสายึดป้าย</t>
        </is>
      </c>
      <c r="E32" s="25" t="n"/>
      <c r="F32" s="3" t="n">
        <v>6</v>
      </c>
      <c r="G32" s="3" t="n">
        <v>4</v>
      </c>
      <c r="H32" s="3" t="n">
        <v>2</v>
      </c>
      <c r="I32" s="3" t="n"/>
      <c r="J32" s="3" t="n"/>
      <c r="K32" s="3" t="n"/>
      <c r="L32" s="3" t="n">
        <v>4</v>
      </c>
      <c r="M32" s="45" t="n"/>
    </row>
    <row r="33">
      <c r="A33" s="33" t="n">
        <v>18</v>
      </c>
      <c r="B33" s="27" t="inlineStr">
        <is>
          <t>แผ่นป้ายประจำหมู่ปืน</t>
        </is>
      </c>
      <c r="C33" s="28" t="n"/>
      <c r="D33" s="28" t="n"/>
      <c r="E33" s="29" t="n"/>
      <c r="F33" s="3" t="n">
        <v>6</v>
      </c>
      <c r="G33" s="3" t="n">
        <v>4</v>
      </c>
      <c r="H33" s="3" t="n">
        <v>2</v>
      </c>
      <c r="I33" s="3" t="n"/>
      <c r="J33" s="3" t="n"/>
      <c r="K33" s="3" t="n"/>
      <c r="L33" s="3" t="n">
        <v>4</v>
      </c>
      <c r="M33" s="45" t="n"/>
    </row>
    <row r="34">
      <c r="A34" s="33" t="n">
        <v>19</v>
      </c>
      <c r="B34" s="27" t="inlineStr">
        <is>
          <t>หลักเล็ง</t>
        </is>
      </c>
      <c r="C34" s="28" t="n"/>
      <c r="D34" s="28" t="n"/>
      <c r="E34" s="29" t="n"/>
      <c r="F34" s="3" t="n">
        <v>24</v>
      </c>
      <c r="G34" s="3" t="n">
        <v>24</v>
      </c>
      <c r="H34" s="3" t="n"/>
      <c r="I34" s="3" t="n"/>
      <c r="J34" s="3" t="n"/>
      <c r="K34" s="3" t="n"/>
      <c r="L34" s="3" t="n">
        <v>24</v>
      </c>
      <c r="M34" s="45" t="n"/>
    </row>
    <row r="35" ht="21.6" customHeight="1" thickBot="1">
      <c r="A35" s="34" t="n">
        <v>20</v>
      </c>
      <c r="B35" s="35" t="inlineStr">
        <is>
          <t>หลักบาร์</t>
        </is>
      </c>
      <c r="C35" s="36" t="n"/>
      <c r="D35" s="36" t="n"/>
      <c r="E35" s="37" t="n"/>
      <c r="F35" s="46" t="n">
        <v>6</v>
      </c>
      <c r="G35" s="46" t="n">
        <v>6</v>
      </c>
      <c r="H35" s="46" t="n"/>
      <c r="I35" s="46" t="n"/>
      <c r="J35" s="46" t="n"/>
      <c r="K35" s="46" t="n"/>
      <c r="L35" s="46" t="n">
        <v>6</v>
      </c>
      <c r="M35" s="47" t="n"/>
    </row>
    <row r="36" ht="21.6" customHeight="1" thickBot="1">
      <c r="A36" s="38" t="inlineStr">
        <is>
          <t>ลำดับ</t>
        </is>
      </c>
      <c r="B36" s="48" t="inlineStr">
        <is>
          <t>รายการ</t>
        </is>
      </c>
      <c r="C36" s="60" t="n"/>
      <c r="D36" s="60" t="n"/>
      <c r="E36" s="61" t="n"/>
      <c r="F36" s="48" t="inlineStr">
        <is>
          <t>ยอดบัญชีคุม</t>
        </is>
      </c>
      <c r="G36" s="48" t="inlineStr">
        <is>
          <t>ยอดที่มี</t>
        </is>
      </c>
      <c r="H36" s="48" t="inlineStr">
        <is>
          <t>ขาด</t>
        </is>
      </c>
      <c r="I36" s="48" t="inlineStr">
        <is>
          <t>เกิน</t>
        </is>
      </c>
      <c r="J36" s="48" t="inlineStr">
        <is>
          <t>ส่งซ่อม</t>
        </is>
      </c>
      <c r="K36" s="48" t="inlineStr">
        <is>
          <t>เบิกยืม</t>
        </is>
      </c>
      <c r="L36" s="48" t="inlineStr">
        <is>
          <t>คงเหลือ</t>
        </is>
      </c>
      <c r="M36" s="42" t="inlineStr">
        <is>
          <t>หมายเหตุ</t>
        </is>
      </c>
    </row>
    <row r="37">
      <c r="A37" s="33" t="n">
        <v>21</v>
      </c>
      <c r="B37" s="26" t="inlineStr">
        <is>
          <t>บัตรปลอดภัย</t>
        </is>
      </c>
      <c r="C37" s="22" t="n"/>
      <c r="D37" s="22" t="n"/>
      <c r="E37" s="23" t="n"/>
      <c r="F37" s="43" t="n">
        <v>6</v>
      </c>
      <c r="G37" s="43" t="n">
        <v>6</v>
      </c>
      <c r="H37" s="43" t="n"/>
      <c r="I37" s="43" t="n"/>
      <c r="J37" s="43" t="n"/>
      <c r="K37" s="43" t="n"/>
      <c r="L37" s="43" t="n">
        <v>6</v>
      </c>
      <c r="M37" s="44" t="n"/>
    </row>
    <row r="38">
      <c r="A38" s="33" t="n">
        <v>22</v>
      </c>
      <c r="B38" s="27" t="inlineStr">
        <is>
          <t>ธงทิศทางยิงพร้อมเสา</t>
        </is>
      </c>
      <c r="C38" s="28" t="n"/>
      <c r="D38" s="28" t="n"/>
      <c r="E38" s="29" t="n"/>
      <c r="F38" s="3" t="n">
        <v>6</v>
      </c>
      <c r="G38" s="3" t="n">
        <v>1</v>
      </c>
      <c r="H38" s="3" t="n">
        <v>5</v>
      </c>
      <c r="I38" s="3" t="n"/>
      <c r="J38" s="3" t="n"/>
      <c r="K38" s="3" t="n"/>
      <c r="L38" s="3" t="n">
        <v>1</v>
      </c>
      <c r="M38" s="45" t="n"/>
    </row>
    <row r="39">
      <c r="A39" s="33" t="n">
        <v>23</v>
      </c>
      <c r="B39" s="15" t="inlineStr">
        <is>
          <t>หน้าจอบ</t>
        </is>
      </c>
      <c r="C39" s="20" t="n"/>
      <c r="D39" s="20" t="n"/>
      <c r="E39" s="21" t="n"/>
      <c r="F39" s="3" t="n">
        <v>12</v>
      </c>
      <c r="G39" s="3" t="n">
        <v>6</v>
      </c>
      <c r="H39" s="3" t="n">
        <v>6</v>
      </c>
      <c r="I39" s="3" t="n"/>
      <c r="J39" s="3" t="n"/>
      <c r="K39" s="3" t="n"/>
      <c r="L39" s="3" t="n">
        <v>6</v>
      </c>
      <c r="M39" s="45" t="n"/>
    </row>
    <row r="40">
      <c r="A40" s="33" t="n"/>
      <c r="B40" s="10" t="inlineStr">
        <is>
          <t>-</t>
        </is>
      </c>
      <c r="C40" s="56" t="inlineStr">
        <is>
          <t>ด้ามจอบ</t>
        </is>
      </c>
      <c r="E40" s="25" t="n"/>
      <c r="F40" s="3" t="n">
        <v>12</v>
      </c>
      <c r="G40" s="3" t="n">
        <v>6</v>
      </c>
      <c r="H40" s="3" t="n">
        <v>6</v>
      </c>
      <c r="I40" s="3" t="n"/>
      <c r="J40" s="3" t="n"/>
      <c r="K40" s="3" t="n"/>
      <c r="L40" s="3" t="n">
        <v>6</v>
      </c>
      <c r="M40" s="45" t="n"/>
    </row>
    <row r="41">
      <c r="A41" s="33" t="n">
        <v>24</v>
      </c>
      <c r="B41" s="27" t="inlineStr">
        <is>
          <t>พลั่ว</t>
        </is>
      </c>
      <c r="C41" s="28" t="n"/>
      <c r="D41" s="28" t="n"/>
      <c r="E41" s="29" t="n"/>
      <c r="F41" s="3" t="n">
        <v>6</v>
      </c>
      <c r="G41" s="3" t="n">
        <v>6</v>
      </c>
      <c r="H41" s="3" t="n">
        <v>1</v>
      </c>
      <c r="I41" s="3" t="n"/>
      <c r="J41" s="3" t="n"/>
      <c r="K41" s="3" t="n"/>
      <c r="L41" s="3" t="n">
        <v>5</v>
      </c>
      <c r="M41" s="45" t="n"/>
    </row>
    <row r="42">
      <c r="A42" s="33" t="n">
        <v>25</v>
      </c>
      <c r="B42" s="27" t="inlineStr">
        <is>
          <t>ค้อน</t>
        </is>
      </c>
      <c r="C42" s="28" t="n"/>
      <c r="D42" s="28" t="n"/>
      <c r="E42" s="29" t="n"/>
      <c r="F42" s="3" t="n">
        <v>6</v>
      </c>
      <c r="G42" s="3" t="n">
        <v>6</v>
      </c>
      <c r="H42" s="3" t="n">
        <v>1</v>
      </c>
      <c r="I42" s="3" t="n"/>
      <c r="J42" s="3" t="n"/>
      <c r="K42" s="3" t="n"/>
      <c r="L42" s="3" t="n">
        <v>5</v>
      </c>
      <c r="M42" s="45" t="n"/>
    </row>
    <row r="43">
      <c r="A43" s="33" t="n">
        <v>26</v>
      </c>
      <c r="B43" s="27" t="inlineStr">
        <is>
          <t>เสียม</t>
        </is>
      </c>
      <c r="C43" s="28" t="n"/>
      <c r="D43" s="28" t="n"/>
      <c r="E43" s="29" t="n"/>
      <c r="F43" s="3" t="n">
        <v>6</v>
      </c>
      <c r="G43" s="3" t="n">
        <v>1</v>
      </c>
      <c r="H43" s="3" t="n">
        <v>5</v>
      </c>
      <c r="I43" s="3" t="n"/>
      <c r="J43" s="3" t="n"/>
      <c r="K43" s="3" t="n"/>
      <c r="L43" s="3" t="n">
        <v>1</v>
      </c>
      <c r="M43" s="45" t="n"/>
    </row>
    <row r="44">
      <c r="A44" s="33" t="n">
        <v>27</v>
      </c>
      <c r="B44" s="27" t="inlineStr">
        <is>
          <t>สมอบก (10 อัน/ป.)</t>
        </is>
      </c>
      <c r="C44" s="28" t="n"/>
      <c r="D44" s="28" t="n"/>
      <c r="E44" s="29" t="n"/>
      <c r="F44" s="3" t="n">
        <v>60</v>
      </c>
      <c r="G44" s="3" t="n">
        <v>40</v>
      </c>
      <c r="H44" s="3" t="n">
        <v>20</v>
      </c>
      <c r="I44" s="3" t="n"/>
      <c r="J44" s="3" t="n"/>
      <c r="K44" s="3" t="n"/>
      <c r="L44" s="3" t="n">
        <v>40</v>
      </c>
      <c r="M44" s="45" t="n"/>
    </row>
    <row r="45">
      <c r="A45" s="33" t="n">
        <v>28</v>
      </c>
      <c r="B45" s="27" t="inlineStr">
        <is>
          <t>มีดหวด</t>
        </is>
      </c>
      <c r="C45" s="28" t="n"/>
      <c r="D45" s="28" t="n"/>
      <c r="E45" s="29" t="n"/>
      <c r="F45" s="3" t="n">
        <v>6</v>
      </c>
      <c r="G45" s="3" t="n">
        <v>5</v>
      </c>
      <c r="H45" s="3" t="n">
        <v>1</v>
      </c>
      <c r="I45" s="3" t="n"/>
      <c r="J45" s="3" t="n"/>
      <c r="K45" s="3" t="n"/>
      <c r="L45" s="3" t="n">
        <v>5</v>
      </c>
      <c r="M45" s="45" t="n"/>
    </row>
    <row r="46">
      <c r="A46" s="33" t="n">
        <v>29</v>
      </c>
      <c r="B46" s="27" t="inlineStr">
        <is>
          <t>ขวานใหญ่</t>
        </is>
      </c>
      <c r="C46" s="28" t="n"/>
      <c r="D46" s="28" t="n"/>
      <c r="E46" s="29" t="n"/>
      <c r="F46" s="3" t="n">
        <v>6</v>
      </c>
      <c r="G46" s="3" t="n">
        <v>4</v>
      </c>
      <c r="H46" s="3" t="n">
        <v>2</v>
      </c>
      <c r="I46" s="3" t="n"/>
      <c r="J46" s="3" t="n"/>
      <c r="K46" s="3" t="n"/>
      <c r="L46" s="3" t="n">
        <v>4</v>
      </c>
      <c r="M46" s="45" t="n"/>
    </row>
    <row r="47">
      <c r="A47" s="33" t="n">
        <v>30</v>
      </c>
      <c r="B47" s="27" t="inlineStr">
        <is>
          <t>จอบขุด</t>
        </is>
      </c>
      <c r="C47" s="28" t="n"/>
      <c r="D47" s="28" t="n"/>
      <c r="E47" s="29" t="n"/>
      <c r="F47" s="3" t="n">
        <v>6</v>
      </c>
      <c r="G47" s="3" t="n">
        <v>5</v>
      </c>
      <c r="H47" s="3" t="n">
        <v>1</v>
      </c>
      <c r="I47" s="3" t="n"/>
      <c r="J47" s="3" t="n"/>
      <c r="K47" s="3" t="n"/>
      <c r="L47" s="3" t="n">
        <v>5</v>
      </c>
      <c r="M47" s="45" t="n"/>
    </row>
    <row r="48">
      <c r="A48" s="33" t="n">
        <v>31</v>
      </c>
      <c r="B48" s="27" t="inlineStr">
        <is>
          <t>เสาโดรน</t>
        </is>
      </c>
      <c r="C48" s="28" t="n"/>
      <c r="D48" s="28" t="n"/>
      <c r="E48" s="29" t="n"/>
      <c r="F48" s="3" t="n">
        <v>36</v>
      </c>
      <c r="G48" s="3" t="n">
        <v>24</v>
      </c>
      <c r="H48" s="3" t="n">
        <v>12</v>
      </c>
      <c r="I48" s="3" t="n"/>
      <c r="J48" s="3" t="n"/>
      <c r="K48" s="3" t="n"/>
      <c r="L48" s="3" t="n">
        <v>24</v>
      </c>
      <c r="M48" s="45" t="n"/>
    </row>
    <row r="49">
      <c r="A49" s="33" t="n">
        <v>32</v>
      </c>
      <c r="B49" s="27" t="inlineStr">
        <is>
          <t>ตาข่ายโดรน</t>
        </is>
      </c>
      <c r="C49" s="28" t="n"/>
      <c r="D49" s="28" t="n"/>
      <c r="E49" s="29" t="n"/>
      <c r="F49" s="3" t="n">
        <v>6</v>
      </c>
      <c r="G49" s="3" t="n">
        <v>1</v>
      </c>
      <c r="H49" s="3" t="n">
        <v>5</v>
      </c>
      <c r="I49" s="3" t="n"/>
      <c r="J49" s="3" t="n"/>
      <c r="K49" s="3" t="n"/>
      <c r="L49" s="3" t="n">
        <v>1</v>
      </c>
      <c r="M49" s="45" t="n"/>
    </row>
    <row r="50">
      <c r="A50" s="33" t="n">
        <v>33</v>
      </c>
      <c r="B50" s="27" t="inlineStr">
        <is>
          <t>กระติกฉีดล้อ</t>
        </is>
      </c>
      <c r="C50" s="28" t="n"/>
      <c r="D50" s="28" t="n"/>
      <c r="E50" s="29" t="n"/>
      <c r="F50" s="3" t="n">
        <v>6</v>
      </c>
      <c r="G50" s="3" t="n">
        <v>0</v>
      </c>
      <c r="H50" s="3" t="n">
        <v>6</v>
      </c>
      <c r="I50" s="3" t="n"/>
      <c r="J50" s="3" t="n"/>
      <c r="K50" s="3" t="n"/>
      <c r="L50" s="3" t="n">
        <v>0</v>
      </c>
      <c r="M50" s="45" t="n"/>
    </row>
    <row r="51">
      <c r="A51" s="33" t="n">
        <v>34</v>
      </c>
      <c r="B51" s="27" t="inlineStr">
        <is>
          <t>ยางทำแบบ</t>
        </is>
      </c>
      <c r="C51" s="28" t="n"/>
      <c r="D51" s="28" t="n"/>
      <c r="E51" s="29" t="n"/>
      <c r="F51" s="3" t="n">
        <v>6</v>
      </c>
      <c r="G51" s="3" t="n">
        <v>4</v>
      </c>
      <c r="H51" s="3" t="n">
        <v>2</v>
      </c>
      <c r="I51" s="3" t="n"/>
      <c r="J51" s="3" t="n"/>
      <c r="K51" s="3" t="n"/>
      <c r="L51" s="3" t="n">
        <v>4</v>
      </c>
      <c r="M51" s="45" t="n"/>
    </row>
    <row r="52">
      <c r="A52" s="33" t="n">
        <v>35</v>
      </c>
      <c r="B52" s="27" t="inlineStr">
        <is>
          <t xml:space="preserve">กระสุนยิงเตรียม  </t>
        </is>
      </c>
      <c r="C52" s="28" t="n"/>
      <c r="D52" s="28" t="n"/>
      <c r="E52" s="29" t="n"/>
      <c r="F52" s="3" t="n">
        <v>60</v>
      </c>
      <c r="G52" s="3" t="n">
        <v>40</v>
      </c>
      <c r="H52" s="3" t="n">
        <v>20</v>
      </c>
      <c r="I52" s="3" t="n"/>
      <c r="J52" s="3" t="n"/>
      <c r="K52" s="3" t="n"/>
      <c r="L52" s="3" t="n">
        <v>40</v>
      </c>
      <c r="M52" s="45" t="n"/>
    </row>
    <row r="53">
      <c r="A53" s="33" t="n">
        <v>36</v>
      </c>
      <c r="B53" s="27" t="inlineStr">
        <is>
          <t>ราวพาดดอกจำปา</t>
        </is>
      </c>
      <c r="C53" s="28" t="n"/>
      <c r="D53" s="28" t="n"/>
      <c r="E53" s="29" t="n"/>
      <c r="F53" s="3" t="n">
        <v>6</v>
      </c>
      <c r="G53" s="3" t="n">
        <v>0</v>
      </c>
      <c r="H53" s="3" t="n">
        <v>6</v>
      </c>
      <c r="I53" s="3" t="n"/>
      <c r="J53" s="3" t="n"/>
      <c r="K53" s="3" t="n"/>
      <c r="L53" s="3" t="n">
        <v>0</v>
      </c>
      <c r="M53" s="45" t="n"/>
    </row>
    <row r="54">
      <c r="A54" s="33" t="n">
        <v>37</v>
      </c>
      <c r="B54" s="27" t="inlineStr">
        <is>
          <t>ปลอกกระสุนฝึกบรรจุ</t>
        </is>
      </c>
      <c r="C54" s="28" t="n"/>
      <c r="D54" s="28" t="n"/>
      <c r="E54" s="29" t="n"/>
      <c r="F54" s="3" t="n">
        <v>6</v>
      </c>
      <c r="G54" s="3" t="n">
        <v>6</v>
      </c>
      <c r="H54" s="3" t="n"/>
      <c r="I54" s="3" t="n"/>
      <c r="J54" s="3" t="n"/>
      <c r="K54" s="3" t="n"/>
      <c r="L54" s="3" t="n">
        <v>6</v>
      </c>
      <c r="M54" s="45" t="n"/>
    </row>
    <row r="55">
      <c r="A55" s="33" t="n">
        <v>38</v>
      </c>
      <c r="B55" s="27" t="inlineStr">
        <is>
          <t>เก้าอี้</t>
        </is>
      </c>
      <c r="C55" s="28" t="n"/>
      <c r="D55" s="28" t="n"/>
      <c r="E55" s="29" t="n"/>
      <c r="F55" s="3" t="n">
        <v>18</v>
      </c>
      <c r="G55" s="3" t="n">
        <v>14</v>
      </c>
      <c r="H55" s="3" t="n">
        <v>4</v>
      </c>
      <c r="I55" s="3" t="n"/>
      <c r="J55" s="3" t="n"/>
      <c r="K55" s="3" t="n"/>
      <c r="L55" s="3" t="n">
        <v>14</v>
      </c>
      <c r="M55" s="45" t="n"/>
    </row>
    <row r="56">
      <c r="A56" s="33" t="n">
        <v>39</v>
      </c>
      <c r="B56" s="27" t="inlineStr">
        <is>
          <t>ไม้หนุนล้อ</t>
        </is>
      </c>
      <c r="C56" s="28" t="n"/>
      <c r="D56" s="28" t="n"/>
      <c r="E56" s="29" t="n"/>
      <c r="F56" s="3" t="n">
        <v>6</v>
      </c>
      <c r="G56" s="3" t="n">
        <v>6</v>
      </c>
      <c r="H56" s="3" t="n"/>
      <c r="I56" s="3" t="n"/>
      <c r="J56" s="3" t="n"/>
      <c r="K56" s="3" t="n"/>
      <c r="L56" s="3" t="n">
        <v>6</v>
      </c>
      <c r="M56" s="45" t="n"/>
    </row>
    <row r="57">
      <c r="A57" s="33" t="n">
        <v>40</v>
      </c>
      <c r="B57" s="27" t="inlineStr">
        <is>
          <t>เชือกดึงตาข่าย (40 ม./ป)</t>
        </is>
      </c>
      <c r="C57" s="28" t="n"/>
      <c r="D57" s="28" t="n"/>
      <c r="E57" s="29" t="n"/>
      <c r="F57" s="3" t="n">
        <v>240</v>
      </c>
      <c r="G57" s="3" t="n">
        <v>80</v>
      </c>
      <c r="H57" s="3" t="n">
        <v>160</v>
      </c>
      <c r="I57" s="3" t="n"/>
      <c r="J57" s="3" t="n"/>
      <c r="K57" s="3" t="n"/>
      <c r="L57" s="3" t="n">
        <v>80</v>
      </c>
      <c r="M57" s="45" t="n"/>
    </row>
    <row r="58">
      <c r="A58" s="33" t="n">
        <v>41</v>
      </c>
      <c r="B58" s="24" t="inlineStr">
        <is>
          <t>ธง ผบ.หมู่ ป.</t>
        </is>
      </c>
      <c r="E58" s="25" t="n"/>
      <c r="F58" s="3" t="n">
        <v>6</v>
      </c>
      <c r="G58" s="3" t="n">
        <v>6</v>
      </c>
      <c r="H58" s="3" t="n"/>
      <c r="I58" s="3" t="n"/>
      <c r="J58" s="3" t="n"/>
      <c r="K58" s="3" t="n"/>
      <c r="L58" s="3" t="n">
        <v>6</v>
      </c>
      <c r="M58" s="45" t="n"/>
    </row>
    <row r="59">
      <c r="A59" s="33" t="n"/>
      <c r="B59" s="10" t="inlineStr">
        <is>
          <t>-</t>
        </is>
      </c>
      <c r="C59" s="56" t="inlineStr">
        <is>
          <t>ด้ามธง</t>
        </is>
      </c>
      <c r="E59" s="25" t="n"/>
      <c r="F59" s="3" t="n">
        <v>6</v>
      </c>
      <c r="G59" s="3" t="n">
        <v>6</v>
      </c>
      <c r="H59" s="3" t="n"/>
      <c r="I59" s="3" t="n"/>
      <c r="J59" s="3" t="n"/>
      <c r="K59" s="3" t="n"/>
      <c r="L59" s="3" t="n">
        <v>6</v>
      </c>
      <c r="M59" s="45" t="n"/>
    </row>
    <row r="60">
      <c r="A60" s="33" t="n">
        <v>42</v>
      </c>
      <c r="B60" s="27" t="inlineStr">
        <is>
          <t>ศูนย์หน้า-หลัง</t>
        </is>
      </c>
      <c r="C60" s="30" t="n"/>
      <c r="D60" s="28" t="n"/>
      <c r="E60" s="29" t="n"/>
      <c r="F60" s="3" t="n">
        <v>18</v>
      </c>
      <c r="G60" s="3" t="n">
        <v>18</v>
      </c>
      <c r="H60" s="3" t="n"/>
      <c r="I60" s="3" t="n"/>
      <c r="J60" s="3" t="n"/>
      <c r="K60" s="3" t="n"/>
      <c r="L60" s="3" t="n">
        <v>18</v>
      </c>
      <c r="M60" s="45" t="n"/>
    </row>
    <row r="61">
      <c r="A61" s="33" t="n">
        <v>43</v>
      </c>
      <c r="B61" s="27" t="inlineStr">
        <is>
          <t>กล้องพาโนรามิค</t>
        </is>
      </c>
      <c r="C61" s="28" t="n"/>
      <c r="D61" s="28" t="n"/>
      <c r="E61" s="29" t="n"/>
      <c r="F61" s="3" t="n">
        <v>9</v>
      </c>
      <c r="G61" s="3" t="n">
        <v>9</v>
      </c>
      <c r="H61" s="3" t="n"/>
      <c r="I61" s="3" t="n"/>
      <c r="J61" s="3" t="n"/>
      <c r="K61" s="3" t="n"/>
      <c r="L61" s="3" t="n">
        <v>9</v>
      </c>
      <c r="M61" s="45" t="n"/>
    </row>
    <row r="62">
      <c r="A62" s="33" t="n">
        <v>42</v>
      </c>
      <c r="B62" s="27" t="inlineStr">
        <is>
          <t>กล้องข้อศอก</t>
        </is>
      </c>
      <c r="C62" s="28" t="n"/>
      <c r="D62" s="28" t="n"/>
      <c r="E62" s="29" t="n"/>
      <c r="F62" s="3" t="n">
        <v>6</v>
      </c>
      <c r="G62" s="3" t="n">
        <v>7</v>
      </c>
      <c r="H62" s="3" t="n"/>
      <c r="I62" s="3" t="n">
        <v>1</v>
      </c>
      <c r="J62" s="3" t="n"/>
      <c r="K62" s="3" t="n"/>
      <c r="L62" s="3" t="n">
        <v>7</v>
      </c>
      <c r="M62" s="45" t="n"/>
    </row>
    <row r="63" ht="21.6" customHeight="1" thickBot="1">
      <c r="A63" s="34" t="n">
        <v>43</v>
      </c>
      <c r="B63" s="35" t="inlineStr">
        <is>
          <t>กล้องคลอลิเมเตอร์</t>
        </is>
      </c>
      <c r="C63" s="36" t="n"/>
      <c r="D63" s="36" t="n"/>
      <c r="E63" s="37" t="n"/>
      <c r="F63" s="46" t="n">
        <v>5</v>
      </c>
      <c r="G63" s="46" t="n">
        <v>5</v>
      </c>
      <c r="H63" s="46" t="n"/>
      <c r="I63" s="46" t="n"/>
      <c r="J63" s="46" t="n"/>
      <c r="K63" s="46" t="n"/>
      <c r="L63" s="46" t="n">
        <v>5</v>
      </c>
      <c r="M63" s="47" t="n"/>
    </row>
    <row r="70" ht="21.6" customHeight="1" thickBot="1"/>
    <row r="71" ht="21.6" customHeight="1" thickBot="1">
      <c r="A71" s="38" t="inlineStr">
        <is>
          <t>ลำดับ</t>
        </is>
      </c>
      <c r="B71" s="48" t="inlineStr">
        <is>
          <t>รายการ</t>
        </is>
      </c>
      <c r="C71" s="60" t="n"/>
      <c r="D71" s="60" t="n"/>
      <c r="E71" s="61" t="n"/>
      <c r="F71" s="48" t="inlineStr">
        <is>
          <t>ยอดบัญชีคุม</t>
        </is>
      </c>
      <c r="G71" s="48" t="inlineStr">
        <is>
          <t>ยอดที่มี</t>
        </is>
      </c>
      <c r="H71" s="48" t="inlineStr">
        <is>
          <t>ขาด</t>
        </is>
      </c>
      <c r="I71" s="48" t="inlineStr">
        <is>
          <t>เกิน</t>
        </is>
      </c>
      <c r="J71" s="48" t="inlineStr">
        <is>
          <t>ส่งซ่อม</t>
        </is>
      </c>
      <c r="K71" s="48" t="inlineStr">
        <is>
          <t>เบิกยืม</t>
        </is>
      </c>
      <c r="L71" s="48" t="inlineStr">
        <is>
          <t>คงเหลือ</t>
        </is>
      </c>
      <c r="M71" s="42" t="inlineStr">
        <is>
          <t>หมายเหตุ</t>
        </is>
      </c>
    </row>
    <row r="72">
      <c r="A72" s="50" t="n">
        <v>1</v>
      </c>
      <c r="B72" s="51" t="inlineStr">
        <is>
          <t>เสาปรับผ่อนอากาศ</t>
        </is>
      </c>
      <c r="C72" s="52" t="n"/>
      <c r="D72" s="52" t="n"/>
      <c r="E72" s="53" t="n"/>
      <c r="F72" s="54" t="n">
        <v>6</v>
      </c>
      <c r="G72" s="54" t="n">
        <v>5</v>
      </c>
      <c r="H72" s="54" t="n">
        <v>1</v>
      </c>
      <c r="I72" s="54" t="n"/>
      <c r="J72" s="54" t="n"/>
      <c r="K72" s="54" t="n"/>
      <c r="L72" s="54" t="n">
        <v>5</v>
      </c>
      <c r="M72" s="55" t="n"/>
    </row>
    <row r="73">
      <c r="A73" s="33" t="n">
        <v>2</v>
      </c>
      <c r="B73" s="24" t="inlineStr">
        <is>
          <t>ประแจเบอร์ 5</t>
        </is>
      </c>
      <c r="C73" s="56" t="n"/>
      <c r="D73" s="56" t="n"/>
      <c r="E73" s="25" t="n"/>
      <c r="F73" s="3" t="n">
        <v>6</v>
      </c>
      <c r="G73" s="3" t="n">
        <v>5</v>
      </c>
      <c r="H73" s="3" t="n">
        <v>1</v>
      </c>
      <c r="I73" s="3" t="n"/>
      <c r="J73" s="3" t="n"/>
      <c r="K73" s="3" t="n"/>
      <c r="L73" s="3" t="n">
        <v>5</v>
      </c>
      <c r="M73" s="45" t="n"/>
    </row>
    <row r="74">
      <c r="A74" s="33" t="n">
        <v>3</v>
      </c>
      <c r="B74" s="15" t="inlineStr">
        <is>
          <t>ไขควงด้ามไม้</t>
        </is>
      </c>
      <c r="C74" s="20" t="n"/>
      <c r="D74" s="20" t="n"/>
      <c r="E74" s="21" t="n"/>
      <c r="F74" s="3" t="n"/>
      <c r="G74" s="3" t="n"/>
      <c r="H74" s="3" t="n"/>
      <c r="I74" s="3" t="n"/>
      <c r="J74" s="3" t="n"/>
      <c r="K74" s="3" t="n"/>
      <c r="L74" s="3" t="n"/>
      <c r="M74" s="45" t="n"/>
    </row>
    <row r="75">
      <c r="A75" s="33" t="n"/>
      <c r="B75" s="10" t="inlineStr">
        <is>
          <t>-</t>
        </is>
      </c>
      <c r="C75" s="56" t="inlineStr">
        <is>
          <t>เล็ก</t>
        </is>
      </c>
      <c r="D75" s="56" t="n"/>
      <c r="E75" s="25" t="n"/>
      <c r="F75" s="3" t="n">
        <v>6</v>
      </c>
      <c r="G75" s="3" t="n">
        <v>6</v>
      </c>
      <c r="H75" s="3">
        <f>F75-G75</f>
        <v/>
      </c>
      <c r="I75" s="3" t="n"/>
      <c r="J75" s="3" t="n"/>
      <c r="K75" s="3" t="n"/>
      <c r="L75" s="3">
        <f>G75</f>
        <v/>
      </c>
      <c r="M75" s="45" t="n"/>
    </row>
    <row r="76">
      <c r="A76" s="33" t="n"/>
      <c r="B76" s="10" t="inlineStr">
        <is>
          <t>-</t>
        </is>
      </c>
      <c r="C76" s="56" t="inlineStr">
        <is>
          <t>กลาง</t>
        </is>
      </c>
      <c r="D76" s="56" t="n"/>
      <c r="E76" s="25" t="n"/>
      <c r="F76" s="3" t="n">
        <v>6</v>
      </c>
      <c r="G76" s="3" t="n">
        <v>6</v>
      </c>
      <c r="H76" s="3">
        <f>F76-G76</f>
        <v/>
      </c>
      <c r="I76" s="3" t="n"/>
      <c r="J76" s="3" t="n"/>
      <c r="K76" s="3" t="n"/>
      <c r="L76" s="3">
        <f>G76</f>
        <v/>
      </c>
      <c r="M76" s="45" t="n"/>
    </row>
    <row r="77">
      <c r="A77" s="33" t="n"/>
      <c r="B77" s="12" t="inlineStr">
        <is>
          <t>-</t>
        </is>
      </c>
      <c r="C77" s="22" t="inlineStr">
        <is>
          <t>ใหญ่</t>
        </is>
      </c>
      <c r="D77" s="22" t="n"/>
      <c r="E77" s="23" t="n"/>
      <c r="F77" s="3" t="n">
        <v>6</v>
      </c>
      <c r="G77" s="3" t="n">
        <v>6</v>
      </c>
      <c r="H77" s="3">
        <f>F77-G77</f>
        <v/>
      </c>
      <c r="I77" s="3" t="n"/>
      <c r="J77" s="3" t="n"/>
      <c r="K77" s="3" t="n"/>
      <c r="L77" s="3">
        <f>G77</f>
        <v/>
      </c>
      <c r="M77" s="45" t="n"/>
    </row>
    <row r="78">
      <c r="A78" s="33" t="n">
        <v>4</v>
      </c>
      <c r="B78" s="24" t="inlineStr">
        <is>
          <t>คีม</t>
        </is>
      </c>
      <c r="C78" s="56" t="n"/>
      <c r="D78" s="56" t="n"/>
      <c r="E78" s="25" t="n"/>
      <c r="F78" s="3" t="n">
        <v>6</v>
      </c>
      <c r="G78" s="3" t="n">
        <v>4</v>
      </c>
      <c r="H78" s="3">
        <f>F78-G78</f>
        <v/>
      </c>
      <c r="I78" s="3" t="n"/>
      <c r="J78" s="3" t="n"/>
      <c r="K78" s="3" t="n"/>
      <c r="L78" s="3">
        <f>G78</f>
        <v/>
      </c>
      <c r="M78" s="45" t="n"/>
    </row>
    <row r="79">
      <c r="A79" s="33" t="n">
        <v>5</v>
      </c>
      <c r="B79" s="15" t="inlineStr">
        <is>
          <t>ประแจเลื่อน</t>
        </is>
      </c>
      <c r="C79" s="20" t="n"/>
      <c r="D79" s="20" t="n"/>
      <c r="E79" s="21" t="n"/>
      <c r="F79" s="3" t="n"/>
      <c r="G79" s="3" t="n"/>
      <c r="H79" s="3" t="n"/>
      <c r="I79" s="3" t="n"/>
      <c r="J79" s="3" t="n"/>
      <c r="K79" s="3" t="n"/>
      <c r="L79" s="3" t="n"/>
      <c r="M79" s="45" t="n"/>
    </row>
    <row r="80">
      <c r="A80" s="33" t="n"/>
      <c r="B80" s="10" t="inlineStr">
        <is>
          <t>-</t>
        </is>
      </c>
      <c r="C80" s="56" t="inlineStr">
        <is>
          <t>เล็ก</t>
        </is>
      </c>
      <c r="D80" s="56" t="n"/>
      <c r="E80" s="25" t="n"/>
      <c r="F80" s="3" t="n">
        <v>6</v>
      </c>
      <c r="G80" s="3" t="n">
        <v>6</v>
      </c>
      <c r="H80" s="3">
        <f>F80-G80</f>
        <v/>
      </c>
      <c r="I80" s="3" t="n"/>
      <c r="J80" s="3" t="n"/>
      <c r="K80" s="3" t="n"/>
      <c r="L80" s="3">
        <f>G80</f>
        <v/>
      </c>
      <c r="M80" s="45" t="n"/>
    </row>
    <row r="81">
      <c r="A81" s="33" t="n"/>
      <c r="B81" s="12" t="inlineStr">
        <is>
          <t>-</t>
        </is>
      </c>
      <c r="C81" s="22" t="inlineStr">
        <is>
          <t>ใหญ่</t>
        </is>
      </c>
      <c r="D81" s="22" t="n"/>
      <c r="E81" s="23" t="n"/>
      <c r="F81" s="3" t="n">
        <v>6</v>
      </c>
      <c r="G81" s="3" t="n">
        <v>5</v>
      </c>
      <c r="H81" s="3">
        <f>F81-G81</f>
        <v/>
      </c>
      <c r="I81" s="3" t="n"/>
      <c r="J81" s="3" t="n"/>
      <c r="K81" s="3" t="n"/>
      <c r="L81" s="3">
        <f>G81</f>
        <v/>
      </c>
      <c r="M81" s="45" t="n"/>
    </row>
    <row r="82">
      <c r="A82" s="33" t="n">
        <v>6</v>
      </c>
      <c r="B82" s="24" t="inlineStr">
        <is>
          <t>แปลงลวดทองเหลือง</t>
        </is>
      </c>
      <c r="C82" s="56" t="n"/>
      <c r="D82" s="56" t="n"/>
      <c r="E82" s="25" t="n"/>
      <c r="F82" s="3" t="n">
        <v>6</v>
      </c>
      <c r="G82" s="3" t="n">
        <v>6</v>
      </c>
      <c r="H82" s="3">
        <f>F82-G82</f>
        <v/>
      </c>
      <c r="I82" s="3" t="n"/>
      <c r="J82" s="3" t="n"/>
      <c r="K82" s="3" t="n"/>
      <c r="L82" s="3">
        <f>G82</f>
        <v/>
      </c>
      <c r="M82" s="45" t="n"/>
    </row>
    <row r="83">
      <c r="A83" s="33" t="n">
        <v>7</v>
      </c>
      <c r="B83" s="27" t="inlineStr">
        <is>
          <t>ที่ขันหัวชนวน</t>
        </is>
      </c>
      <c r="C83" s="28" t="n"/>
      <c r="D83" s="28" t="n"/>
      <c r="E83" s="29" t="n"/>
      <c r="F83" s="3" t="n">
        <v>6</v>
      </c>
      <c r="G83" s="3" t="n">
        <v>6</v>
      </c>
      <c r="H83" s="3">
        <f>F83-G83</f>
        <v/>
      </c>
      <c r="I83" s="3" t="n"/>
      <c r="J83" s="3" t="n"/>
      <c r="K83" s="3" t="n"/>
      <c r="L83" s="3">
        <f>G83</f>
        <v/>
      </c>
      <c r="M83" s="45" t="n"/>
    </row>
    <row r="84">
      <c r="A84" s="33" t="n">
        <v>8</v>
      </c>
      <c r="B84" s="27" t="inlineStr">
        <is>
          <t>เหล็กคัดปลอก</t>
        </is>
      </c>
      <c r="C84" s="28" t="n"/>
      <c r="D84" s="28" t="n"/>
      <c r="E84" s="29" t="n"/>
      <c r="F84" s="3" t="n">
        <v>6</v>
      </c>
      <c r="G84" s="3" t="n">
        <v>6</v>
      </c>
      <c r="H84" s="3">
        <f>F84-G84</f>
        <v/>
      </c>
      <c r="I84" s="3" t="n"/>
      <c r="J84" s="3" t="n"/>
      <c r="K84" s="3" t="n"/>
      <c r="L84" s="3">
        <f>G84</f>
        <v/>
      </c>
      <c r="M84" s="45" t="n"/>
    </row>
    <row r="85">
      <c r="A85" s="33" t="n">
        <v>9</v>
      </c>
      <c r="B85" s="27" t="inlineStr">
        <is>
          <t>กล่องใส่เครื่องตั้งมุมยิงประณีต</t>
        </is>
      </c>
      <c r="C85" s="28" t="n"/>
      <c r="D85" s="28" t="n"/>
      <c r="E85" s="29" t="n"/>
      <c r="F85" s="3" t="n">
        <v>6</v>
      </c>
      <c r="G85" s="3" t="n">
        <v>4</v>
      </c>
      <c r="H85" s="3">
        <f>F85-G85</f>
        <v/>
      </c>
      <c r="I85" s="3" t="n"/>
      <c r="J85" s="3" t="n"/>
      <c r="K85" s="3" t="n"/>
      <c r="L85" s="3">
        <f>G85</f>
        <v/>
      </c>
      <c r="M85" s="45" t="n"/>
    </row>
    <row r="86">
      <c r="A86" s="33" t="n">
        <v>10</v>
      </c>
      <c r="B86" s="27" t="inlineStr">
        <is>
          <t>กระบอกถ่ายน้ำมันรับแรง</t>
        </is>
      </c>
      <c r="C86" s="28" t="n"/>
      <c r="D86" s="28" t="n"/>
      <c r="E86" s="29" t="n"/>
      <c r="F86" s="3" t="n">
        <v>6</v>
      </c>
      <c r="G86" s="3" t="n">
        <v>6</v>
      </c>
      <c r="H86" s="3">
        <f>F86-G86</f>
        <v/>
      </c>
      <c r="I86" s="3" t="n"/>
      <c r="J86" s="3" t="n"/>
      <c r="K86" s="3" t="n"/>
      <c r="L86" s="3">
        <f>G86</f>
        <v/>
      </c>
      <c r="M86" s="45" t="n"/>
    </row>
    <row r="87">
      <c r="A87" s="33" t="n">
        <v>11</v>
      </c>
      <c r="B87" s="27" t="inlineStr">
        <is>
          <t>จำปา</t>
        </is>
      </c>
      <c r="C87" s="28" t="n"/>
      <c r="D87" s="28" t="n"/>
      <c r="E87" s="29" t="n"/>
      <c r="F87" s="3" t="n">
        <v>6</v>
      </c>
      <c r="G87" s="3" t="n">
        <v>6</v>
      </c>
      <c r="H87" s="3">
        <f>F87-G87</f>
        <v/>
      </c>
      <c r="I87" s="3" t="n"/>
      <c r="J87" s="3" t="n"/>
      <c r="K87" s="3" t="n"/>
      <c r="L87" s="3">
        <f>G87</f>
        <v/>
      </c>
      <c r="M87" s="45" t="n"/>
    </row>
    <row r="88">
      <c r="A88" s="33" t="n">
        <v>12</v>
      </c>
      <c r="B88" s="27" t="inlineStr">
        <is>
          <t>แปลงดำขัดลำกล้อง</t>
        </is>
      </c>
      <c r="C88" s="28" t="n"/>
      <c r="D88" s="28" t="n"/>
      <c r="E88" s="29" t="n"/>
      <c r="F88" s="3" t="n">
        <v>6</v>
      </c>
      <c r="G88" s="3" t="n">
        <v>6</v>
      </c>
      <c r="H88" s="3">
        <f>F88-G88</f>
        <v/>
      </c>
      <c r="I88" s="3" t="n"/>
      <c r="J88" s="3" t="n"/>
      <c r="K88" s="3" t="n"/>
      <c r="L88" s="3">
        <f>G88</f>
        <v/>
      </c>
      <c r="M88" s="45" t="n"/>
    </row>
    <row r="89">
      <c r="A89" s="33" t="n">
        <v>13</v>
      </c>
      <c r="B89" s="24" t="inlineStr">
        <is>
          <t>กระบอกอัดจาระบี</t>
        </is>
      </c>
      <c r="C89" s="56" t="n"/>
      <c r="D89" s="56" t="n"/>
      <c r="E89" s="25" t="n"/>
      <c r="F89" s="3" t="n">
        <v>6</v>
      </c>
      <c r="G89" s="3" t="n">
        <v>6</v>
      </c>
      <c r="H89" s="3">
        <f>F89-G89</f>
        <v/>
      </c>
      <c r="I89" s="3" t="n"/>
      <c r="J89" s="3" t="n"/>
      <c r="K89" s="3" t="n"/>
      <c r="L89" s="3">
        <f>G89</f>
        <v/>
      </c>
      <c r="M89" s="45" t="n"/>
    </row>
    <row r="90">
      <c r="A90" s="33" t="n">
        <v>14</v>
      </c>
      <c r="B90" s="15" t="inlineStr">
        <is>
          <t>เครื่องวัดอุณหภูมิ</t>
        </is>
      </c>
      <c r="C90" s="20" t="n"/>
      <c r="D90" s="20" t="n"/>
      <c r="E90" s="21" t="n"/>
      <c r="F90" s="3" t="n"/>
      <c r="G90" s="3" t="n"/>
      <c r="H90" s="3" t="n"/>
      <c r="I90" s="3" t="n"/>
      <c r="J90" s="3" t="n"/>
      <c r="K90" s="3" t="n"/>
      <c r="L90" s="3" t="n"/>
      <c r="M90" s="45" t="n"/>
    </row>
    <row r="91">
      <c r="A91" s="33" t="n"/>
      <c r="B91" s="10" t="inlineStr">
        <is>
          <t>-</t>
        </is>
      </c>
      <c r="C91" s="56" t="inlineStr">
        <is>
          <t>อัตโนมัติ</t>
        </is>
      </c>
      <c r="D91" s="56" t="n"/>
      <c r="E91" s="25" t="n"/>
      <c r="F91" s="3" t="n">
        <v>6</v>
      </c>
      <c r="G91" s="3" t="n">
        <v>6</v>
      </c>
      <c r="H91" s="3">
        <f>F91-G91</f>
        <v/>
      </c>
      <c r="I91" s="3" t="n"/>
      <c r="J91" s="3" t="n"/>
      <c r="K91" s="3" t="n"/>
      <c r="L91" s="3">
        <f>G91</f>
        <v/>
      </c>
      <c r="M91" s="45" t="n"/>
    </row>
    <row r="92">
      <c r="A92" s="33" t="n"/>
      <c r="B92" s="10" t="inlineStr">
        <is>
          <t>-</t>
        </is>
      </c>
      <c r="C92" s="56" t="inlineStr">
        <is>
          <t>ธรรมดา</t>
        </is>
      </c>
      <c r="D92" s="56" t="n"/>
      <c r="E92" s="25" t="n"/>
      <c r="F92" s="3" t="n">
        <v>6</v>
      </c>
      <c r="G92" s="3" t="n">
        <v>4</v>
      </c>
      <c r="H92" s="3">
        <f>F92-G92</f>
        <v/>
      </c>
      <c r="I92" s="3" t="n"/>
      <c r="J92" s="3" t="n"/>
      <c r="K92" s="3" t="n"/>
      <c r="L92" s="3">
        <f>G92</f>
        <v/>
      </c>
      <c r="M92" s="45" t="n"/>
    </row>
    <row r="93">
      <c r="A93" s="33" t="n">
        <v>15</v>
      </c>
      <c r="B93" s="27" t="inlineStr">
        <is>
          <t>กระบอกเสียบไฟ</t>
        </is>
      </c>
      <c r="C93" s="28" t="n"/>
      <c r="D93" s="28" t="n"/>
      <c r="E93" s="29" t="n"/>
      <c r="F93" s="3" t="n">
        <v>6</v>
      </c>
      <c r="G93" s="3" t="n">
        <v>6</v>
      </c>
      <c r="H93" s="3">
        <f>F93-G93</f>
        <v/>
      </c>
      <c r="I93" s="3" t="n"/>
      <c r="J93" s="3" t="n"/>
      <c r="K93" s="3" t="n"/>
      <c r="L93" s="3">
        <f>G93</f>
        <v/>
      </c>
      <c r="M93" s="45" t="n"/>
    </row>
    <row r="94">
      <c r="A94" s="33" t="n">
        <v>16</v>
      </c>
      <c r="B94" s="27" t="inlineStr">
        <is>
          <t>ชุดลั่นไก</t>
        </is>
      </c>
      <c r="C94" s="28" t="n"/>
      <c r="D94" s="28" t="n"/>
      <c r="E94" s="29" t="n"/>
      <c r="F94" s="3" t="n">
        <v>6</v>
      </c>
      <c r="G94" s="3" t="n">
        <v>6</v>
      </c>
      <c r="H94" s="3">
        <f>F94-G94</f>
        <v/>
      </c>
      <c r="I94" s="3" t="n"/>
      <c r="J94" s="3" t="n"/>
      <c r="K94" s="3" t="n"/>
      <c r="L94" s="3">
        <f>G94</f>
        <v/>
      </c>
      <c r="M94" s="45" t="n"/>
    </row>
    <row r="95">
      <c r="A95" s="33" t="n">
        <v>17</v>
      </c>
      <c r="B95" s="27" t="inlineStr">
        <is>
          <t>เครื่องให้แสงไฟหลักเล็ง</t>
        </is>
      </c>
      <c r="C95" s="28" t="n"/>
      <c r="D95" s="28" t="n"/>
      <c r="E95" s="29" t="n"/>
      <c r="F95" s="3" t="n">
        <v>6</v>
      </c>
      <c r="G95" s="3" t="n">
        <v>6</v>
      </c>
      <c r="H95" s="3">
        <f>F95-G95</f>
        <v/>
      </c>
      <c r="I95" s="3" t="n"/>
      <c r="J95" s="3" t="n"/>
      <c r="K95" s="3" t="n"/>
      <c r="L95" s="3">
        <f>G95</f>
        <v/>
      </c>
      <c r="M95" s="45" t="n"/>
    </row>
    <row r="96">
      <c r="A96" s="33" t="n">
        <v>18</v>
      </c>
      <c r="B96" s="27" t="inlineStr">
        <is>
          <t>ถุงใส่หลักเล็ง</t>
        </is>
      </c>
      <c r="C96" s="28" t="n"/>
      <c r="D96" s="28" t="n"/>
      <c r="E96" s="29" t="n"/>
      <c r="F96" s="3" t="n">
        <v>6</v>
      </c>
      <c r="G96" s="3" t="n">
        <v>4</v>
      </c>
      <c r="H96" s="3">
        <f>F96-G96</f>
        <v/>
      </c>
      <c r="I96" s="3" t="n"/>
      <c r="J96" s="3" t="n"/>
      <c r="K96" s="3" t="n"/>
      <c r="L96" s="3">
        <f>G96</f>
        <v/>
      </c>
      <c r="M96" s="45" t="n"/>
    </row>
    <row r="97">
      <c r="A97" s="33" t="n">
        <v>19</v>
      </c>
      <c r="B97" s="27" t="inlineStr">
        <is>
          <t>ตัวตั้งหัวชนวน M26</t>
        </is>
      </c>
      <c r="C97" s="28" t="n"/>
      <c r="D97" s="28" t="n"/>
      <c r="E97" s="29" t="n"/>
      <c r="F97" s="3" t="n">
        <v>6</v>
      </c>
      <c r="G97" s="3" t="n">
        <v>6</v>
      </c>
      <c r="H97" s="3">
        <f>F97-G97</f>
        <v/>
      </c>
      <c r="I97" s="3" t="n"/>
      <c r="J97" s="3" t="n"/>
      <c r="K97" s="3" t="n"/>
      <c r="L97" s="3">
        <f>G97</f>
        <v/>
      </c>
      <c r="M97" s="45" t="n"/>
    </row>
    <row r="98">
      <c r="A98" s="33" t="n">
        <v>20</v>
      </c>
      <c r="B98" s="24" t="inlineStr">
        <is>
          <t>เครื่องให้แสง M21</t>
        </is>
      </c>
      <c r="C98" s="56" t="n"/>
      <c r="D98" s="56" t="n"/>
      <c r="E98" s="25" t="n"/>
      <c r="F98" s="3" t="n">
        <v>6</v>
      </c>
      <c r="G98" s="3" t="n">
        <v>6</v>
      </c>
      <c r="H98" s="3">
        <f>F98-G98</f>
        <v/>
      </c>
      <c r="I98" s="3" t="n"/>
      <c r="J98" s="3" t="n"/>
      <c r="K98" s="3" t="n"/>
      <c r="L98" s="3">
        <f>G98</f>
        <v/>
      </c>
      <c r="M98" s="45" t="n"/>
    </row>
    <row r="99">
      <c r="A99" s="33" t="n">
        <v>21</v>
      </c>
      <c r="B99" s="15" t="inlineStr">
        <is>
          <t>ตัวขันหัวชนวน</t>
        </is>
      </c>
      <c r="C99" s="20" t="n"/>
      <c r="D99" s="20" t="n"/>
      <c r="E99" s="21" t="n"/>
      <c r="F99" s="3" t="n"/>
      <c r="G99" s="3" t="n"/>
      <c r="H99" s="3" t="n"/>
      <c r="I99" s="3" t="n"/>
      <c r="J99" s="3" t="n"/>
      <c r="K99" s="3" t="n"/>
      <c r="L99" s="3" t="n"/>
      <c r="M99" s="45" t="n"/>
    </row>
    <row r="100">
      <c r="A100" s="33" t="n"/>
      <c r="B100" s="10" t="inlineStr">
        <is>
          <t>-</t>
        </is>
      </c>
      <c r="C100" s="56" t="inlineStr">
        <is>
          <t>แบบ M.16</t>
        </is>
      </c>
      <c r="D100" s="56" t="n"/>
      <c r="E100" s="25" t="n"/>
      <c r="F100" s="3" t="n">
        <v>6</v>
      </c>
      <c r="G100" s="3" t="n">
        <v>6</v>
      </c>
      <c r="H100" s="3">
        <f>F100-G100</f>
        <v/>
      </c>
      <c r="I100" s="3" t="n"/>
      <c r="J100" s="3" t="n"/>
      <c r="K100" s="3" t="n"/>
      <c r="L100" s="3">
        <f>G100</f>
        <v/>
      </c>
      <c r="M100" s="45" t="n"/>
    </row>
    <row r="101">
      <c r="A101" s="33" t="n"/>
      <c r="B101" s="12" t="inlineStr">
        <is>
          <t>-</t>
        </is>
      </c>
      <c r="C101" s="22" t="inlineStr">
        <is>
          <t>แบบ M.18</t>
        </is>
      </c>
      <c r="D101" s="22" t="n"/>
      <c r="E101" s="23" t="n"/>
      <c r="F101" s="3" t="n">
        <v>6</v>
      </c>
      <c r="G101" s="3" t="n">
        <v>6</v>
      </c>
      <c r="H101" s="3">
        <f>F101-G101</f>
        <v/>
      </c>
      <c r="I101" s="3" t="n"/>
      <c r="J101" s="3" t="n"/>
      <c r="K101" s="3" t="n"/>
      <c r="L101" s="3">
        <f>G101</f>
        <v/>
      </c>
      <c r="M101" s="45" t="n"/>
    </row>
    <row r="102">
      <c r="A102" s="33" t="n">
        <v>22</v>
      </c>
      <c r="B102" s="24" t="inlineStr">
        <is>
          <t>เครื่องให้แสงกล้องพาโนรามิค</t>
        </is>
      </c>
      <c r="C102" s="56" t="n"/>
      <c r="D102" s="56" t="n"/>
      <c r="E102" s="25" t="n"/>
      <c r="F102" s="3" t="n">
        <v>6</v>
      </c>
      <c r="G102" s="3" t="n">
        <v>3</v>
      </c>
      <c r="H102" s="3">
        <f>F102-G102</f>
        <v/>
      </c>
      <c r="I102" s="3" t="n"/>
      <c r="J102" s="3" t="n"/>
      <c r="K102" s="3" t="n"/>
      <c r="L102" s="3">
        <f>G102</f>
        <v/>
      </c>
      <c r="M102" s="45" t="n"/>
    </row>
    <row r="103">
      <c r="A103" s="33" t="n">
        <v>23</v>
      </c>
      <c r="B103" s="27" t="inlineStr">
        <is>
          <t>เหล็กคัดท้าย</t>
        </is>
      </c>
      <c r="C103" s="28" t="n"/>
      <c r="D103" s="28" t="n"/>
      <c r="E103" s="29" t="n"/>
      <c r="F103" s="3" t="n">
        <v>6</v>
      </c>
      <c r="G103" s="3" t="n">
        <v>6</v>
      </c>
      <c r="H103" s="3">
        <f>F103-G103</f>
        <v/>
      </c>
      <c r="I103" s="3" t="n"/>
      <c r="J103" s="3" t="n"/>
      <c r="K103" s="3" t="n"/>
      <c r="L103" s="3">
        <f>G103</f>
        <v/>
      </c>
      <c r="M103" s="45" t="n"/>
    </row>
    <row r="104">
      <c r="A104" s="33" t="n">
        <v>24</v>
      </c>
      <c r="B104" s="27" t="inlineStr">
        <is>
          <t>กล่องดำใส่กล้อง</t>
        </is>
      </c>
      <c r="C104" s="28" t="n"/>
      <c r="D104" s="28" t="n"/>
      <c r="E104" s="29" t="n"/>
      <c r="F104" s="3" t="n">
        <v>6</v>
      </c>
      <c r="G104" s="3" t="n">
        <v>6</v>
      </c>
      <c r="H104" s="3">
        <f>F104-G104</f>
        <v/>
      </c>
      <c r="I104" s="3" t="n"/>
      <c r="J104" s="3" t="n"/>
      <c r="K104" s="3" t="n"/>
      <c r="L104" s="3">
        <f>G104</f>
        <v/>
      </c>
      <c r="M104" s="45" t="n"/>
    </row>
    <row r="105" ht="21.6" customHeight="1" thickBot="1">
      <c r="A105" s="34" t="n">
        <v>25</v>
      </c>
      <c r="B105" s="35" t="inlineStr">
        <is>
          <t>ถังน้ำ</t>
        </is>
      </c>
      <c r="C105" s="36" t="n"/>
      <c r="D105" s="36" t="n"/>
      <c r="E105" s="37" t="n"/>
      <c r="F105" s="46" t="n">
        <v>12</v>
      </c>
      <c r="G105" s="46" t="n">
        <v>6</v>
      </c>
      <c r="H105" s="46">
        <f>F105-G105</f>
        <v/>
      </c>
      <c r="I105" s="46" t="n"/>
      <c r="J105" s="46" t="n"/>
      <c r="K105" s="46" t="n"/>
      <c r="L105" s="46">
        <f>G105</f>
        <v/>
      </c>
      <c r="M105" s="47" t="n"/>
    </row>
    <row r="106" ht="21.6" customHeight="1" thickBot="1">
      <c r="A106" s="38" t="inlineStr">
        <is>
          <t>ลำดับ</t>
        </is>
      </c>
      <c r="B106" s="48" t="inlineStr">
        <is>
          <t>รายการ</t>
        </is>
      </c>
      <c r="C106" s="60" t="n"/>
      <c r="D106" s="60" t="n"/>
      <c r="E106" s="61" t="n"/>
      <c r="F106" s="48" t="inlineStr">
        <is>
          <t>ยอดบัญชีคุม</t>
        </is>
      </c>
      <c r="G106" s="48" t="inlineStr">
        <is>
          <t>ยอดที่มี</t>
        </is>
      </c>
      <c r="H106" s="48" t="inlineStr">
        <is>
          <t>ขาด</t>
        </is>
      </c>
      <c r="I106" s="48" t="inlineStr">
        <is>
          <t>เกิน</t>
        </is>
      </c>
      <c r="J106" s="48" t="inlineStr">
        <is>
          <t>ส่งซ่อม</t>
        </is>
      </c>
      <c r="K106" s="48" t="inlineStr">
        <is>
          <t>เบิกยืม</t>
        </is>
      </c>
      <c r="L106" s="48" t="inlineStr">
        <is>
          <t>คงเหลือ</t>
        </is>
      </c>
      <c r="M106" s="42" t="inlineStr">
        <is>
          <t>หมายเหตุ</t>
        </is>
      </c>
    </row>
    <row r="107">
      <c r="A107" s="33" t="n">
        <v>26</v>
      </c>
      <c r="B107" s="57" t="inlineStr">
        <is>
          <t>ไขควงสั้นด้ามไม้</t>
        </is>
      </c>
      <c r="C107" s="58" t="n"/>
      <c r="D107" s="58" t="n"/>
      <c r="E107" s="59" t="n"/>
      <c r="F107" s="43" t="n">
        <v>6</v>
      </c>
      <c r="G107" s="43" t="n">
        <v>3</v>
      </c>
      <c r="H107" s="43" t="n">
        <v>3</v>
      </c>
      <c r="I107" s="43" t="n"/>
      <c r="J107" s="43" t="n"/>
      <c r="K107" s="43" t="n"/>
      <c r="L107" s="43" t="n">
        <v>3</v>
      </c>
      <c r="M107" s="44" t="n"/>
    </row>
    <row r="108">
      <c r="A108" s="33" t="n">
        <v>27</v>
      </c>
      <c r="B108" s="24" t="inlineStr">
        <is>
          <t>ผ้าคลุม</t>
        </is>
      </c>
      <c r="F108" s="43" t="n"/>
      <c r="G108" s="43" t="n"/>
      <c r="H108" s="43" t="n"/>
      <c r="I108" s="43" t="n"/>
      <c r="J108" s="43" t="n"/>
      <c r="K108" s="43" t="n"/>
      <c r="L108" s="43" t="n"/>
      <c r="M108" s="44" t="n"/>
    </row>
    <row r="109">
      <c r="A109" s="33" t="n"/>
      <c r="B109" s="10" t="inlineStr">
        <is>
          <t>-</t>
        </is>
      </c>
      <c r="C109" s="56" t="inlineStr">
        <is>
          <t>ปากลำกล้อง</t>
        </is>
      </c>
      <c r="F109" s="3" t="n">
        <v>6</v>
      </c>
      <c r="G109" s="3" t="n">
        <v>6</v>
      </c>
      <c r="H109" s="3">
        <f>F109-G109</f>
        <v/>
      </c>
      <c r="I109" s="4" t="n"/>
      <c r="J109" s="4" t="n"/>
      <c r="K109" s="4" t="n"/>
      <c r="L109" s="3">
        <f>G109</f>
        <v/>
      </c>
      <c r="M109" s="45" t="n"/>
    </row>
    <row r="110">
      <c r="A110" s="33" t="n"/>
      <c r="B110" s="10" t="inlineStr">
        <is>
          <t>-</t>
        </is>
      </c>
      <c r="C110" s="56" t="inlineStr">
        <is>
          <t>ฐานกล้องพาโนรามิค</t>
        </is>
      </c>
      <c r="F110" s="3" t="n">
        <v>6</v>
      </c>
      <c r="G110" s="3" t="n">
        <v>5</v>
      </c>
      <c r="H110" s="3">
        <f>F110-G110</f>
        <v/>
      </c>
      <c r="I110" s="3" t="n"/>
      <c r="J110" s="3" t="n"/>
      <c r="K110" s="3" t="n"/>
      <c r="L110" s="3">
        <f>G110</f>
        <v/>
      </c>
      <c r="M110" s="45" t="n"/>
    </row>
    <row r="111">
      <c r="A111" s="33" t="n"/>
      <c r="B111" s="12" t="inlineStr">
        <is>
          <t>-</t>
        </is>
      </c>
      <c r="C111" s="22" t="inlineStr">
        <is>
          <t>ฐานกล้องข้อศอก</t>
        </is>
      </c>
      <c r="D111" s="22" t="n"/>
      <c r="E111" s="22" t="n"/>
      <c r="F111" s="3" t="n">
        <v>6</v>
      </c>
      <c r="G111" s="3" t="n">
        <v>4</v>
      </c>
      <c r="H111" s="3">
        <f>F111-G111</f>
        <v/>
      </c>
      <c r="I111" s="3" t="n"/>
      <c r="J111" s="3" t="n"/>
      <c r="K111" s="3" t="n"/>
      <c r="L111" s="3">
        <f>G111</f>
        <v/>
      </c>
      <c r="M111" s="45" t="n"/>
    </row>
    <row r="112">
      <c r="A112" s="33" t="n">
        <v>28</v>
      </c>
      <c r="B112" s="27" t="inlineStr">
        <is>
          <t>ฐานกล้องเล็ง M.21</t>
        </is>
      </c>
      <c r="C112" s="28" t="n"/>
      <c r="D112" s="28" t="n"/>
      <c r="E112" s="29" t="n"/>
      <c r="F112" s="3" t="n">
        <v>6</v>
      </c>
      <c r="G112" s="3" t="n">
        <v>3</v>
      </c>
      <c r="H112" s="3">
        <f>F112-G112</f>
        <v/>
      </c>
      <c r="I112" s="3" t="n"/>
      <c r="J112" s="3" t="n"/>
      <c r="K112" s="3" t="n"/>
      <c r="L112" s="3">
        <f>G112</f>
        <v/>
      </c>
      <c r="M112" s="45" t="n"/>
    </row>
    <row r="113">
      <c r="A113" s="33" t="n">
        <v>29</v>
      </c>
      <c r="B113" s="15" t="inlineStr">
        <is>
          <t>ลังเครื่องมือช่างซ่อม ป.</t>
        </is>
      </c>
      <c r="C113" s="20" t="n"/>
      <c r="D113" s="20" t="n"/>
      <c r="E113" s="20" t="n"/>
      <c r="F113" s="3" t="n"/>
      <c r="G113" s="3" t="n"/>
      <c r="H113" s="3" t="n"/>
      <c r="I113" s="3" t="n"/>
      <c r="J113" s="3" t="n"/>
      <c r="K113" s="3" t="n"/>
      <c r="L113" s="3" t="n"/>
      <c r="M113" s="45" t="n"/>
    </row>
    <row r="114">
      <c r="A114" s="33" t="n"/>
      <c r="B114" s="10" t="inlineStr">
        <is>
          <t>-</t>
        </is>
      </c>
      <c r="C114" s="56" t="inlineStr">
        <is>
          <t>เครื่องมือครบลัง</t>
        </is>
      </c>
      <c r="F114" s="3" t="n">
        <v>2</v>
      </c>
      <c r="G114" s="3" t="n">
        <v>2</v>
      </c>
      <c r="H114" s="3">
        <f>F114-G114</f>
        <v/>
      </c>
      <c r="I114" s="3" t="n"/>
      <c r="J114" s="3" t="n"/>
      <c r="K114" s="3" t="n"/>
      <c r="L114" s="3">
        <f>G114</f>
        <v/>
      </c>
      <c r="M114" s="45" t="n"/>
    </row>
    <row r="115" ht="21.6" customHeight="1" thickBot="1">
      <c r="A115" s="34" t="n"/>
      <c r="B115" s="40" t="inlineStr">
        <is>
          <t>-</t>
        </is>
      </c>
      <c r="C115" s="41" t="inlineStr">
        <is>
          <t>เครื่องมือไม่ครบลัง</t>
        </is>
      </c>
      <c r="D115" s="41" t="n"/>
      <c r="E115" s="41" t="n"/>
      <c r="F115" s="46" t="n">
        <v>1</v>
      </c>
      <c r="G115" s="46" t="n">
        <v>1</v>
      </c>
      <c r="H115" s="46">
        <f>F115-G115</f>
        <v/>
      </c>
      <c r="I115" s="46" t="n"/>
      <c r="J115" s="46" t="n"/>
      <c r="K115" s="46" t="n"/>
      <c r="L115" s="46">
        <f>G115</f>
        <v/>
      </c>
      <c r="M115" s="47" t="n"/>
    </row>
    <row r="116"/>
    <row r="117"/>
    <row r="118">
      <c r="G118" s="63" t="inlineStr">
        <is>
          <t>ร.อ.</t>
        </is>
      </c>
      <c r="H118" s="64" t="inlineStr">
        <is>
          <t>(กฤติน  นราพงษ์)</t>
        </is>
      </c>
    </row>
    <row r="119">
      <c r="G119" s="65" t="inlineStr">
        <is>
          <t>ผบ.ร้อย.ป.๒</t>
        </is>
      </c>
    </row>
    <row r="120"/>
    <row r="121"/>
    <row r="122"/>
    <row r="123"/>
    <row r="124"/>
    <row r="125"/>
  </sheetData>
  <mergeCells count="6">
    <mergeCell ref="B71:E71"/>
    <mergeCell ref="B4:E4"/>
    <mergeCell ref="B106:E106"/>
    <mergeCell ref="G119:H119"/>
    <mergeCell ref="B5:E5"/>
    <mergeCell ref="B36:E36"/>
  </mergeCells>
  <pageMargins left="0.41" right="0.25" top="0.52" bottom="0.75" header="0.3" footer="0.3"/>
  <pageSetup orientation="portrait" paperSize="9" horizontalDpi="429496729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KKD Windows 7 V.3</dc:creator>
  <dcterms:created xmlns:dcterms="http://purl.org/dc/terms/" xmlns:xsi="http://www.w3.org/2001/XMLSchema-instance" xsi:type="dcterms:W3CDTF">2026-10-08T03:54:57Z</dcterms:created>
  <dcterms:modified xmlns:dcterms="http://purl.org/dc/terms/" xmlns:xsi="http://www.w3.org/2001/XMLSchema-instance" xsi:type="dcterms:W3CDTF">2026-10-16T20:31:59Z</dcterms:modified>
  <cp:lastModifiedBy>EVE</cp:lastModifiedBy>
  <cp:lastPrinted>2026-10-16T08:50:45Z</cp:lastPrinted>
</cp:coreProperties>
</file>